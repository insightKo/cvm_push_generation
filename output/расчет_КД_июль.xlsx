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elenakoryakova/new projects/cvm_push_generation/output/"/>
    </mc:Choice>
  </mc:AlternateContent>
  <xr:revisionPtr revIDLastSave="0" documentId="13_ncr:1_{0C9D408A-D9EB-6D40-86B7-1EB706F80601}" xr6:coauthVersionLast="47" xr6:coauthVersionMax="47" xr10:uidLastSave="{00000000-0000-0000-0000-000000000000}"/>
  <bookViews>
    <workbookView xWindow="0" yWindow="0" windowWidth="28800" windowHeight="16780" xr2:uid="{00000000-000D-0000-FFFF-FFFF00000000}"/>
  </bookViews>
  <sheets>
    <sheet name="июль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J2" i="1" s="1"/>
  <c r="K5" i="1"/>
  <c r="J5" i="1" s="1"/>
  <c r="I5" i="1"/>
  <c r="D5" i="1"/>
  <c r="K4" i="1"/>
  <c r="J4" i="1" s="1"/>
  <c r="I4" i="1"/>
  <c r="L4" i="1" s="1"/>
  <c r="D4" i="1"/>
  <c r="K3" i="1"/>
  <c r="J3" i="1" s="1"/>
  <c r="I3" i="1"/>
  <c r="D3" i="1"/>
  <c r="I2" i="1"/>
  <c r="D2" i="1"/>
  <c r="L3" i="1" l="1"/>
  <c r="L2" i="1"/>
  <c r="L5" i="1"/>
</calcChain>
</file>

<file path=xl/sharedStrings.xml><?xml version="1.0" encoding="utf-8"?>
<sst xmlns="http://schemas.openxmlformats.org/spreadsheetml/2006/main" count="30" uniqueCount="27">
  <si>
    <t>НОМЕР</t>
  </si>
  <si>
    <t>Название промо</t>
  </si>
  <si>
    <t>Старт акции</t>
  </si>
  <si>
    <t>Окончание акции</t>
  </si>
  <si>
    <t>Канал</t>
  </si>
  <si>
    <t>Категория</t>
  </si>
  <si>
    <t>Кол-во клиентов</t>
  </si>
  <si>
    <t>Отклик, %</t>
  </si>
  <si>
    <t>Доп ТО, р.</t>
  </si>
  <si>
    <t>Скидка, р.</t>
  </si>
  <si>
    <t>Скидка в категории, р.</t>
  </si>
  <si>
    <t>PL, р.</t>
  </si>
  <si>
    <t>Коды категорий cat5</t>
  </si>
  <si>
    <t>Средняя стоимость закупки, ₽</t>
  </si>
  <si>
    <t>Скидка 20% на реппеленты</t>
  </si>
  <si>
    <t>PUSH</t>
  </si>
  <si>
    <t>репелленты от комаров и клещей (пластины, аэрозоли, спирали, фумигаторы, браслеты)</t>
  </si>
  <si>
    <t>64090408</t>
  </si>
  <si>
    <t>Скидка 20% на товары для уборки</t>
  </si>
  <si>
    <t>чистящие и моющие средства (для посуды, сантехники, стёкол, полов; чистящие порошки, спреи, гели)</t>
  </si>
  <si>
    <t>63010501, 63010503, 63010504, 63010505, 63010506, 63010507, 63010508, 63010511, 63010513, 63010515</t>
  </si>
  <si>
    <t>Скидка 20% на средства по уходу за лицом</t>
  </si>
  <si>
    <t>уход за лицом (кремы для лица, мицеллярная вода, маски, гели для умывания, лосьоны, скрабы)</t>
  </si>
  <si>
    <t>63030607</t>
  </si>
  <si>
    <t>Скидка 20% на средства для бритья</t>
  </si>
  <si>
    <t>средства для бритья (станки, пена и гель для бритья, крем после бритья)</t>
  </si>
  <si>
    <t>63030504, 63030506, 63030507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</si>
</sst>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"/>
    <numFmt numFmtId="165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8BC34A"/>
        <bgColor rgb="FF9696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165" fontId="1" fillId="2" borderId="0" xfId="0" applyNumberFormat="1" applyFont="1" applyFill="1" applyAlignment="1">
      <alignment horizontal="center" vertical="center" wrapText="1"/>
    </xf>
    <xf numFmtId="3" fontId="1" fillId="2" borderId="0" xfId="0" applyNumberFormat="1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164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49" fontId="1" fillId="2" borderId="0" xfId="0" applyNumberFormat="1" applyFont="1" applyFill="1" applyAlignment="1">
      <alignment horizontal="center" wrapText="1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abSelected="1" topLeftCell="B1" workbookViewId="0">
      <selection activeCell="F5" sqref="F5"/>
    </sheetView>
  </sheetViews>
  <sheetFormatPr baseColWidth="10" defaultColWidth="8.83203125" defaultRowHeight="15" x14ac:dyDescent="0.2"/>
  <cols>
    <col min="2" max="2" width="24.33203125" customWidth="1"/>
    <col min="5" max="5" width="8.83203125" style="14" customWidth="1"/>
    <col min="6" max="6" width="35" customWidth="1"/>
    <col min="7" max="7" width="9.1640625" customWidth="1"/>
    <col min="8" max="8" width="8.1640625" customWidth="1"/>
    <col min="9" max="9" width="9.1640625" customWidth="1"/>
    <col min="10" max="10" width="8.1640625" customWidth="1"/>
    <col min="11" max="11" width="12.33203125" customWidth="1"/>
    <col min="12" max="12" width="10.83203125" customWidth="1"/>
    <col min="13" max="13" width="45" customWidth="1"/>
    <col min="14" max="14" width="14" customWidth="1"/>
  </cols>
  <sheetData>
    <row r="1" spans="1:14" ht="45" customHeight="1" x14ac:dyDescent="0.2">
      <c r="A1" s="1" t="s">
        <v>0</v>
      </c>
      <c r="B1" s="2" t="s">
        <v>1</v>
      </c>
      <c r="C1" s="3" t="s">
        <v>2</v>
      </c>
      <c r="D1" s="3" t="s">
        <v>3</v>
      </c>
      <c r="E1" s="13" t="s">
        <v>4</v>
      </c>
      <c r="F1" s="1" t="s">
        <v>5</v>
      </c>
      <c r="G1" s="1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1" t="s">
        <v>12</v>
      </c>
      <c r="N1" s="5" t="s">
        <v>13</v>
      </c>
    </row>
    <row r="2" spans="1:14" ht="45" x14ac:dyDescent="0.2">
      <c r="A2" s="6">
        <v>101320</v>
      </c>
      <c r="B2" s="7" t="s">
        <v>14</v>
      </c>
      <c r="C2" s="8">
        <v>46208</v>
      </c>
      <c r="D2" s="8">
        <f>C2</f>
        <v>46208</v>
      </c>
      <c r="E2" s="9" t="s">
        <v>15</v>
      </c>
      <c r="F2" s="10" t="s">
        <v>16</v>
      </c>
      <c r="G2" s="11">
        <v>3710000</v>
      </c>
      <c r="H2" s="12">
        <v>5.0000000000000001E-4</v>
      </c>
      <c r="I2" s="11">
        <f>H2*G2*900</f>
        <v>1669500</v>
      </c>
      <c r="J2" s="11">
        <f>K2</f>
        <v>86814</v>
      </c>
      <c r="K2" s="11">
        <f>20%*H2*G2*N2</f>
        <v>86814</v>
      </c>
      <c r="L2" s="11">
        <f>I2/1.15*0.3-J2/1.15</f>
        <v>360031.30434782611</v>
      </c>
      <c r="M2" s="10" t="s">
        <v>17</v>
      </c>
      <c r="N2" s="11">
        <v>234</v>
      </c>
    </row>
    <row r="3" spans="1:14" ht="45" x14ac:dyDescent="0.2">
      <c r="A3" s="6">
        <v>101321</v>
      </c>
      <c r="B3" s="7" t="s">
        <v>18</v>
      </c>
      <c r="C3" s="8">
        <v>46215</v>
      </c>
      <c r="D3" s="8">
        <f>C3</f>
        <v>46215</v>
      </c>
      <c r="E3" s="9" t="s">
        <v>15</v>
      </c>
      <c r="F3" s="10" t="s">
        <v>19</v>
      </c>
      <c r="G3" s="11">
        <v>3710000</v>
      </c>
      <c r="H3" s="12">
        <v>5.0000000000000001E-4</v>
      </c>
      <c r="I3" s="11">
        <f>H3*G3*900</f>
        <v>1669500</v>
      </c>
      <c r="J3" s="11">
        <f>K3</f>
        <v>59360</v>
      </c>
      <c r="K3" s="11">
        <f>20%*H3*G3*N3</f>
        <v>59360</v>
      </c>
      <c r="L3" s="11">
        <f>I3/1.15*0.3-J3/1.15</f>
        <v>383904.34782608697</v>
      </c>
      <c r="M3" s="10" t="s">
        <v>20</v>
      </c>
      <c r="N3" s="11">
        <v>160</v>
      </c>
    </row>
    <row r="4" spans="1:14" ht="45" x14ac:dyDescent="0.2">
      <c r="A4" s="6">
        <v>101322</v>
      </c>
      <c r="B4" s="7" t="s">
        <v>21</v>
      </c>
      <c r="C4" s="8">
        <v>46222</v>
      </c>
      <c r="D4" s="8">
        <f>C4</f>
        <v>46222</v>
      </c>
      <c r="E4" s="9" t="s">
        <v>15</v>
      </c>
      <c r="F4" s="10" t="s">
        <v>22</v>
      </c>
      <c r="G4" s="11">
        <v>3710000</v>
      </c>
      <c r="H4" s="12">
        <v>5.0000000000000001E-4</v>
      </c>
      <c r="I4" s="11">
        <f>H4*G4*900</f>
        <v>1669500</v>
      </c>
      <c r="J4" s="11">
        <f>K4</f>
        <v>43407</v>
      </c>
      <c r="K4" s="11">
        <f>20%*H4*G4*N4</f>
        <v>43407</v>
      </c>
      <c r="L4" s="11">
        <f>I4/1.15*0.3-J4/1.15</f>
        <v>397776.52173913049</v>
      </c>
      <c r="M4" s="10" t="s">
        <v>23</v>
      </c>
      <c r="N4" s="11">
        <v>117</v>
      </c>
    </row>
    <row r="5" spans="1:14" ht="30" x14ac:dyDescent="0.2">
      <c r="A5" s="6">
        <v>101323</v>
      </c>
      <c r="B5" s="7" t="s">
        <v>24</v>
      </c>
      <c r="C5" s="8">
        <v>46229</v>
      </c>
      <c r="D5" s="8">
        <f>C5</f>
        <v>46229</v>
      </c>
      <c r="E5" s="9" t="s">
        <v>15</v>
      </c>
      <c r="F5" s="10" t="s">
        <v>25</v>
      </c>
      <c r="G5" s="11">
        <v>3710000</v>
      </c>
      <c r="H5" s="12">
        <v>5.0000000000000001E-4</v>
      </c>
      <c r="I5" s="11">
        <f>H5*G5*900</f>
        <v>1669500</v>
      </c>
      <c r="J5" s="11">
        <f>K5</f>
        <v>130592</v>
      </c>
      <c r="K5" s="11">
        <f>20%*H5*G5*N5</f>
        <v>130592</v>
      </c>
      <c r="L5" s="11">
        <f>I5/1.15*0.3-J5/1.15</f>
        <v>321963.47826086957</v>
      </c>
      <c r="M5" s="10" t="s">
        <v>26</v>
      </c>
      <c r="N5" s="11">
        <v>352</v>
      </c>
    </row>
    <row r="6" spans="1:14" ht="75" customHeight="1" x14ac:dyDescent="0.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июль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lena_koryakova@mail.ru</cp:lastModifiedBy>
  <dcterms:created xsi:type="dcterms:W3CDTF">2026-05-31T17:51:55Z</dcterms:created>
  <dcterms:modified xsi:type="dcterms:W3CDTF">2026-06-30T08:30:17Z</dcterms:modified>
</cp:coreProperties>
</file>