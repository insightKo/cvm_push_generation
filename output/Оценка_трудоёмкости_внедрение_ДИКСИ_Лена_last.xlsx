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elenakoryakova/new projects/cvm_push_generation/output/"/>
    </mc:Choice>
  </mc:AlternateContent>
  <xr:revisionPtr revIDLastSave="0" documentId="8_{367516F5-7634-2F44-ADDA-C12C529BA4C6}" xr6:coauthVersionLast="47" xr6:coauthVersionMax="47" xr10:uidLastSave="{00000000-0000-0000-0000-000000000000}"/>
  <bookViews>
    <workbookView xWindow="0" yWindow="0" windowWidth="28800" windowHeight="16840" xr2:uid="{00000000-000D-0000-FFFF-FFFF00000000}"/>
  </bookViews>
  <sheets>
    <sheet name="Roadmap" sheetId="2" r:id="rId1"/>
    <sheet name="Трудоёмкость (детально)" sheetId="3" r:id="rId2"/>
    <sheet name="Агенты" sheetId="7" r:id="rId3"/>
    <sheet name="Стоимость проекта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</calcChain>
</file>

<file path=xl/sharedStrings.xml><?xml version="1.0" encoding="utf-8"?>
<sst xmlns="http://schemas.openxmlformats.org/spreadsheetml/2006/main" count="328" uniqueCount="225">
  <si>
    <t>Месяц</t>
  </si>
  <si>
    <t>Доп ТО ДЦО, ₽</t>
  </si>
  <si>
    <t>Доп ТО CVM, ₽</t>
  </si>
  <si>
    <t>Доп ТО итого, ₽</t>
  </si>
  <si>
    <t>июль.26</t>
  </si>
  <si>
    <t>авг.26</t>
  </si>
  <si>
    <t>сент.26</t>
  </si>
  <si>
    <t>окт.26</t>
  </si>
  <si>
    <t>ноя.26</t>
  </si>
  <si>
    <t>дек.26</t>
  </si>
  <si>
    <t>ИТОГО</t>
  </si>
  <si>
    <t>Roadmap проекта: 3 этапа за 6 месяцев</t>
  </si>
  <si>
    <t>От усиления ДЦО через персонализацию — к полноценному CVM — к промышленному масштабу и оптимизации</t>
  </si>
  <si>
    <t>ЭТАП 1  ·  июль–август 2026</t>
  </si>
  <si>
    <t>ЭТАП 2  ·  сентябрь–ноябрь 2026</t>
  </si>
  <si>
    <t>ЭТАП 3  ·  декабрь 2026</t>
  </si>
  <si>
    <t>Персонализация ДЦО</t>
  </si>
  <si>
    <t>Полноценный CVM: 100 сегментов</t>
  </si>
  <si>
    <t>Масштаб + простая оптимизация</t>
  </si>
  <si>
    <t>→</t>
  </si>
  <si>
    <t>ЧТО ДЕЛАЕМ:
•  Масштаб до 100 сегментов (на базе MCI)
•  Конвейер массовой генерации контента
•  Операционный интерфейс заведения акций
•  Запуск агентов: дизайнер баннеров, оптимизатор
•  Дашборды эффективности и постэффекты
ЧТО ЭТО ДАЁТ:
•  Полноценный персонализированный CVM-движок
•  +208 млн ₽/мес доп. товарооборота CVM
•  Скорость и охват кампаний кратно выше</t>
  </si>
  <si>
    <t>ЧТО ДЕЛАЕМ:
•  Простой оптимизатор: автоподбор оффера/частоты,
    антидубли, приоритизация
•  Формирование 200 акций
•  Допиливание интерфейса
•  Передача сервиса заказчику
ЧТО ЭТО ДАЁТ:
•  Промышленный масштаб — 200 акций
•  Доп ТО CVM до 416 млн ₽/мес
•  Автономность и готовность к передаче</t>
  </si>
  <si>
    <t>ИТОГ: совокупный доп. товарооборот за 6 мес ~1,28 млрд ₽ (ДЦО 243 млн + CVM 1 040 млн).  100 сегментов, 200 акций/мес, 7 обученных агентов.  Сервис на нашем сервере с передачей заказчику.</t>
  </si>
  <si>
    <t>Детальный план работ — помесячно   (ставка 4 350 ₽/час, без НДС)</t>
  </si>
  <si>
    <t>№</t>
  </si>
  <si>
    <t>Этап</t>
  </si>
  <si>
    <t>Задача</t>
  </si>
  <si>
    <t>Блок</t>
  </si>
  <si>
    <t>Роль</t>
  </si>
  <si>
    <t>Часы</t>
  </si>
  <si>
    <t>ЭТАП 1 — Персонализация ДЦО (июль–август)</t>
  </si>
  <si>
    <t>1.1</t>
  </si>
  <si>
    <t>Этап 1</t>
  </si>
  <si>
    <t>Развёртывание сервиса на нашем сервере: окружение, домены, доступы, безопасность, бэкапы</t>
  </si>
  <si>
    <t>Технический</t>
  </si>
  <si>
    <t>Data engineer</t>
  </si>
  <si>
    <t>1.2</t>
  </si>
  <si>
    <t>Интеграция источников данных ДЦО (клиенты, история покупок, текущие ДЦО-акции)</t>
  </si>
  <si>
    <t>1.3</t>
  </si>
  <si>
    <t>Интеграция готового модуля сегментации MCI в проект + интерфейс выбора сегментов</t>
  </si>
  <si>
    <t>Data engineer + Backend</t>
  </si>
  <si>
    <t>1.4</t>
  </si>
  <si>
    <t>Настройка автоматических контрольных групп (на базе MCI)</t>
  </si>
  <si>
    <t>CVM-аналитик</t>
  </si>
  <si>
    <t>1.5</t>
  </si>
  <si>
    <t>Движок персонализации текстов ДЦО (адаптация генератора под сегмент)</t>
  </si>
  <si>
    <t>AI-инженер</t>
  </si>
  <si>
    <t>1.6</t>
  </si>
  <si>
    <t>Методология персонализации ДЦО (карта сегмент → оффер)</t>
  </si>
  <si>
    <t>Операционный</t>
  </si>
  <si>
    <t>Руководитель проекта / CVM-методолог</t>
  </si>
  <si>
    <t>1.7</t>
  </si>
  <si>
    <t>Перевод текущих ДЦО-акций в персональный формат (контент)</t>
  </si>
  <si>
    <t>AI-инженер + маркетолог</t>
  </si>
  <si>
    <t>1.8</t>
  </si>
  <si>
    <t>Создание базы знаний: шаблоны, скиллы, гайдлайны, tone of voice</t>
  </si>
  <si>
    <t>1.9</t>
  </si>
  <si>
    <t>Согласование и выстраивание бизнес-процесса планирования и заведения ДЦО</t>
  </si>
  <si>
    <t>Руководитель проекта + аналитик</t>
  </si>
  <si>
    <t>1.10</t>
  </si>
  <si>
    <t>Пилотный запуск + аналитика постэффектов vs контрольная группа</t>
  </si>
  <si>
    <t>1.11</t>
  </si>
  <si>
    <t>Управление этапом: статусы, демо, приёмка</t>
  </si>
  <si>
    <t>1.12</t>
  </si>
  <si>
    <t>Аренда и настройка отдельных серверов под агентов: изолированные среды, оркестрация, мониторинг</t>
  </si>
  <si>
    <t>1.13</t>
  </si>
  <si>
    <t>Безопасность: шифрование и дешифровка данных для агентов (доступ к ПДн, маскирование, ключи)</t>
  </si>
  <si>
    <t>Data engineer / безопасность</t>
  </si>
  <si>
    <t>ЭТАП 2 — Полноценный CVM: 100 сегментов (сентябрь–ноябрь)</t>
  </si>
  <si>
    <t>2.1</t>
  </si>
  <si>
    <t>Этап 2</t>
  </si>
  <si>
    <t>Интеграция и настройка 100 сегментов MCI в проекте (конфиг, обновление, выгрузки)</t>
  </si>
  <si>
    <t>2.2</t>
  </si>
  <si>
    <t>Конвейер массовой генерации контента (push / купон / баннер / e-mail)</t>
  </si>
  <si>
    <t>2.3</t>
  </si>
  <si>
    <t>Операционный интерфейс заведения акций (бриф → сегмент → механика → контент → расписание → выгрузка)</t>
  </si>
  <si>
    <t>Backend-разработчик</t>
  </si>
  <si>
    <t>2.4</t>
  </si>
  <si>
    <t>Интеграция деплинков, SKU и механик в конвейер</t>
  </si>
  <si>
    <t>2.5</t>
  </si>
  <si>
    <t>Простой оптимизатор по акциям (подбор оффера под сегмент, правила/скоринг)</t>
  </si>
  <si>
    <t>2.6</t>
  </si>
  <si>
    <t>Дашборд эффективности и аналитика постэффектов сегментных акций / контрольных групп</t>
  </si>
  <si>
    <t>2.7</t>
  </si>
  <si>
    <t>Формирование контента под 100 сегментов (тексты, проверка ToV, скиллы)</t>
  </si>
  <si>
    <t>2.8</t>
  </si>
  <si>
    <t>Операционная часть заведения акций (настройка, расписание, QA)</t>
  </si>
  <si>
    <t>Маркетолог + аналитик</t>
  </si>
  <si>
    <t>2.9</t>
  </si>
  <si>
    <t>Выстраивание бизнес-процесса планирования и согласования сетки CVM-акций</t>
  </si>
  <si>
    <t>2.10</t>
  </si>
  <si>
    <t>Методология 100 сегментов (карта сегмент → категория → механика)</t>
  </si>
  <si>
    <t>2.11</t>
  </si>
  <si>
    <t>Обучение и онбординг команды заказчика</t>
  </si>
  <si>
    <t>2.12</t>
  </si>
  <si>
    <t>2.13</t>
  </si>
  <si>
    <t>Обучение и вывод агентов в продакшн (копирайтер, редактор-гуманизатор, дизайнер баннеров, оптимизатор)</t>
  </si>
  <si>
    <t>2.14</t>
  </si>
  <si>
    <t>Безопасность: дешифровка и подготовка данных для аналитики (постэффекты, контрольные группы, дашборды)</t>
  </si>
  <si>
    <t>CVM-аналитик + Data engineer</t>
  </si>
  <si>
    <t>ЭТАП 3 — Масштаб + простая оптимизация (декабрь)</t>
  </si>
  <si>
    <t>3.1</t>
  </si>
  <si>
    <t>Этап 3</t>
  </si>
  <si>
    <t>Допиливание и стабилизация интерфейса заведения акций</t>
  </si>
  <si>
    <t>3.2</t>
  </si>
  <si>
    <t>Формирование 200 акций (массовое заведение через конвейер)</t>
  </si>
  <si>
    <t>3.3</t>
  </si>
  <si>
    <t>Простая оптимизация: автоподбор оффера и частоты, антидубли, приоритизация</t>
  </si>
  <si>
    <t>3.4</t>
  </si>
  <si>
    <t>Аналитика постэффектов по 200 акциям, финальный отчёт</t>
  </si>
  <si>
    <t>3.5</t>
  </si>
  <si>
    <t>Подготовка к передаче сервиса заказчику (документация, runbook, доступы)</t>
  </si>
  <si>
    <t>3.6</t>
  </si>
  <si>
    <t>Управление этапом, приёмка, передача</t>
  </si>
  <si>
    <t>ИТОГО ПО МЕСЯЦАМ, часы</t>
  </si>
  <si>
    <t>ИТОГО ПО МЕСЯЦАМ, ₽</t>
  </si>
  <si>
    <t>ДОПОЛНИТЕЛЬНЫЕ РАСХОДЫ (вне трудозатрат по часам)</t>
  </si>
  <si>
    <t>Статья</t>
  </si>
  <si>
    <t>Стоимость</t>
  </si>
  <si>
    <t>Комментарий</t>
  </si>
  <si>
    <t>Модуль сегментации MCI</t>
  </si>
  <si>
    <t>0 ₽</t>
  </si>
  <si>
    <t>Включено. Бесплатно на период проекта (6 мес); далее — по условиям MCI</t>
  </si>
  <si>
    <t>Серверная инфраструктура — аренда защищённого сервера (мощности, хранилище, при моделях GPU)</t>
  </si>
  <si>
    <t>~45 000 ₽/мес</t>
  </si>
  <si>
    <t>Ежемесячно. Аренда со всеми защитами и контурами безопасности</t>
  </si>
  <si>
    <t>Аренда отдельных серверов под агентов (изолированные среды исполнения)</t>
  </si>
  <si>
    <t>~45 000 ₽/мес за среду</t>
  </si>
  <si>
    <t>Ежемесячно. Число сред — по нагрузке/числу агентов</t>
  </si>
  <si>
    <t>Подписка Claude Max — максимальный тариф (20x)</t>
  </si>
  <si>
    <t>$200/мес</t>
  </si>
  <si>
    <t>Ежемесячно. Генерация текстов; оплата по курсу</t>
  </si>
  <si>
    <t>Подписка Nano Banana / Google AI Ultra — максимальный тариф</t>
  </si>
  <si>
    <t>Ежемесячно. Генерация изображений/баннеров; оплата по курсу</t>
  </si>
  <si>
    <t>Доп. токены API сверх лимитов подписок</t>
  </si>
  <si>
    <t>по объёму</t>
  </si>
  <si>
    <t>По факту. При превышении лимитов подписок</t>
  </si>
  <si>
    <t>Интеграции на стороне заказчика (CRM/рассылки, выгрузки, API заведения)</t>
  </si>
  <si>
    <t>вне сметы</t>
  </si>
  <si>
    <t>Разовое. Трудозатраты ИТ заказчика</t>
  </si>
  <si>
    <t>Контур персональных данных (152-ФЗ)</t>
  </si>
  <si>
    <t>по факту</t>
  </si>
  <si>
    <t>Разовое + ежемес.. Защищённое хранение, обезличивание, согласование ИБ</t>
  </si>
  <si>
    <t>Резерв на изменение объёма и доработки</t>
  </si>
  <si>
    <t>~10–15%</t>
  </si>
  <si>
    <t>Разовое. К смете работ</t>
  </si>
  <si>
    <t>НДС (если применимо)</t>
  </si>
  <si>
    <t>поверх сумм</t>
  </si>
  <si>
    <t>—. Поверх сумм без НДС</t>
  </si>
  <si>
    <t>Доп. расходы не входят в смету работ и оплачиваются отдельно.</t>
  </si>
  <si>
    <t>Стоимость проекта (без НДС). Ставка 4 350 ₽/час</t>
  </si>
  <si>
    <t>Расчёт является ПРЕДВАРИТЕЛЬНЫМ (оценочным): объём часов — экспертная оценка и может быть уточнён по итогам обследования и согласования объёма работ с заказчиком.</t>
  </si>
  <si>
    <t>Этап / услуга</t>
  </si>
  <si>
    <t>Ед.</t>
  </si>
  <si>
    <t>Кол-во часов</t>
  </si>
  <si>
    <t>Стоимость, ₽</t>
  </si>
  <si>
    <t>1.</t>
  </si>
  <si>
    <t>Этап 1. Персонализация ДЦО (июль-август 2026)</t>
  </si>
  <si>
    <t xml:space="preserve">   • Технический блок</t>
  </si>
  <si>
    <t>чел.-час</t>
  </si>
  <si>
    <t xml:space="preserve">   • Операционный блок</t>
  </si>
  <si>
    <t>2.</t>
  </si>
  <si>
    <t>Этап 2. Полноценный CVM: 100 сегментов (сентябрь-ноябрь 2026)</t>
  </si>
  <si>
    <t>3.</t>
  </si>
  <si>
    <t>Этап 3. Масштаб + простая оптимизация (декабрь 2026)</t>
  </si>
  <si>
    <t>ИТОГО работы по проекту</t>
  </si>
  <si>
    <t>в т.ч. в среднем в месяц (6 мес)</t>
  </si>
  <si>
    <t>Модель: сервис разворачивается на нашем сервере с возможностью последующей передачи заказчику (задача 3.5).</t>
  </si>
  <si>
    <t>Доп. расходы вне трудозатрат — см. лист «Трудоёмкость (детально)».</t>
  </si>
  <si>
    <t>КЛЮЧЕВЫЕ ПОКАЗАТЕЛИ</t>
  </si>
  <si>
    <t>ROI за период</t>
  </si>
  <si>
    <t>2 355 %</t>
  </si>
  <si>
    <t>Чистый эффект за 6 мес</t>
  </si>
  <si>
    <t>246 149 650 ₽</t>
  </si>
  <si>
    <t>Валовая прибыль за 6 мес</t>
  </si>
  <si>
    <t>Итого затраты за 6 мес (работы + инфра + подписки)</t>
  </si>
  <si>
    <t>10 450 350 ₽</t>
  </si>
  <si>
    <t>Доп ТО на 1 ₽ затрат</t>
  </si>
  <si>
    <t>123 ₽</t>
  </si>
  <si>
    <t>Доля затрат в доп. товарообороте</t>
  </si>
  <si>
    <t>0.81 %</t>
  </si>
  <si>
    <t>Окупаемость (накопл. эффект &gt; 0)</t>
  </si>
  <si>
    <t>Агенты, которых обучаем и запускаем в рамках процесса</t>
  </si>
  <si>
    <t>Каждый агент исполняется в изолированной арендованной среде (см. задачу 1.12 и доп. расходы).</t>
  </si>
  <si>
    <t>Агент</t>
  </si>
  <si>
    <t>Функция</t>
  </si>
  <si>
    <t>Обучаем / настраиваем (этап, задачи)</t>
  </si>
  <si>
    <t>Запуск</t>
  </si>
  <si>
    <t>Модель / основа</t>
  </si>
  <si>
    <t>1. Агент-сегментатор</t>
  </si>
  <si>
    <t>Выбор аудитории и сегментов под акцию, контрольные группы</t>
  </si>
  <si>
    <t>Этап 1 (1.3, 1.4) → масштаб Этап 2 (2.1)</t>
  </si>
  <si>
    <t>июль</t>
  </si>
  <si>
    <t>Модуль MCI + интеграция</t>
  </si>
  <si>
    <t>2. Агент-персонализатор</t>
  </si>
  <si>
    <t>Подбор оффера под сегмент (сегмент → оффер)</t>
  </si>
  <si>
    <t>Этап 1 (1.5)</t>
  </si>
  <si>
    <t>июль-авг</t>
  </si>
  <si>
    <t>Claude Max + правила CVM</t>
  </si>
  <si>
    <t>3. Агент-копирайтер</t>
  </si>
  <si>
    <t>Генерация текстов: push / купон / баннер / e-mail</t>
  </si>
  <si>
    <t>Этап 1 (1.7) → масштаб Этап 2 (2.2, 2.7)</t>
  </si>
  <si>
    <t>авг-сент</t>
  </si>
  <si>
    <t>Claude Max + скиллы (hook-generator, frameworks)</t>
  </si>
  <si>
    <t>4. Агент-редактор / гуманизатор</t>
  </si>
  <si>
    <t>Проверка качества, tone of voice, антишаблон</t>
  </si>
  <si>
    <t>Этап 1 (1.8)</t>
  </si>
  <si>
    <t>авг</t>
  </si>
  <si>
    <t>Claude Max + скиллы (humanizer, beautiful-prose, voice-builder)</t>
  </si>
  <si>
    <t>5. Агент-дизайнер баннеров</t>
  </si>
  <si>
    <t>Генерация изображений и баннеров</t>
  </si>
  <si>
    <t>Этап 2 (2.2, 2.13)</t>
  </si>
  <si>
    <t>сент-окт</t>
  </si>
  <si>
    <t>Nano Banana / Google AI Ultra</t>
  </si>
  <si>
    <t>6. Агент-оптимизатор</t>
  </si>
  <si>
    <t>Подбор оффера/частоты, антидубли, приоритизация акций</t>
  </si>
  <si>
    <t>Этап 2 (2.5) → Этап 3 (3.3)</t>
  </si>
  <si>
    <t>ноя-дек</t>
  </si>
  <si>
    <t>Claude Max + скоринг/правила</t>
  </si>
  <si>
    <t>7. Агент-аналитик постэффектов</t>
  </si>
  <si>
    <t>Расчёт эффекта vs контрольные группы, отчёты</t>
  </si>
  <si>
    <t>Этап 1 (1.10) → Этап 2 (2.6) → Этап 3 (3.4)</t>
  </si>
  <si>
    <t>июль-дек</t>
  </si>
  <si>
    <t>Внутренние модели + дашборд</t>
  </si>
  <si>
    <t>ЧТО ДЕЛАЕМ:
•  Перевод ДЦО-акций на персональные рассылки
•  Интеграция готового модуля сегментации MCI
•  Автоматические контрольные группы
•  Запуск агентов: сегментатор, персонализатор,
    копирайтер, редактор-гуманизатор
•  База знаний + бизнес-процесс заведения ДЦО
ЧТО ЭТО ДАЁТ:
•  Рост пенетрации, отдача акций ДЦО выше
•  +27 млн ₽/мес доп. товарооборота ДЦО
•  Фундамент для масштабирования CVM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</si>
</sst>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\ ##0\ \₽"/>
    <numFmt numFmtId="165" formatCode="#\ ##0"/>
    <numFmt numFmtId="167" formatCode="_-* #,##0_-;\-* #,##0_-;_-* &quot;-&quot;??_-;_-@_-"/>
  </numFmts>
  <fonts count="20">
    <font>
      <sz val="11"/>
      <color theme="1"/>
      <name val="Calibri"/>
      <family val="2"/>
      <scheme val="minor"/>
    </font>
    <font>
      <sz val="9"/>
      <color rgb="FF666666"/>
      <name val="Inter"/>
    </font>
    <font>
      <b/>
      <sz val="10"/>
      <color rgb="FFFFFFFF"/>
      <name val="Inter"/>
    </font>
    <font>
      <b/>
      <sz val="10"/>
      <name val="Inter"/>
    </font>
    <font>
      <sz val="10"/>
      <name val="Inter"/>
    </font>
    <font>
      <b/>
      <sz val="14"/>
      <color rgb="FF3A2A6B"/>
      <name val="Inter"/>
    </font>
    <font>
      <b/>
      <sz val="11"/>
      <color rgb="FFF47A20"/>
      <name val="Inter"/>
    </font>
    <font>
      <b/>
      <sz val="9"/>
      <color rgb="FFC0392B"/>
      <name val="Inter"/>
    </font>
    <font>
      <b/>
      <sz val="11"/>
      <color rgb="FFFFFFFF"/>
      <name val="Inter"/>
    </font>
    <font>
      <b/>
      <sz val="12"/>
      <color rgb="FF3A2A6B"/>
      <name val="Inter"/>
    </font>
    <font>
      <b/>
      <sz val="20"/>
      <color rgb="FF999999"/>
      <name val="Inter"/>
    </font>
    <font>
      <b/>
      <sz val="16"/>
      <color rgb="FF3A2A6B"/>
      <name val="Inter"/>
    </font>
    <font>
      <b/>
      <sz val="12"/>
      <color rgb="FFFFFFFF"/>
      <name val="Inter"/>
    </font>
    <font>
      <b/>
      <sz val="11"/>
      <name val="Inter"/>
    </font>
    <font>
      <sz val="11"/>
      <name val="Inter"/>
    </font>
    <font>
      <b/>
      <sz val="10"/>
      <color rgb="FFA0521A"/>
      <name val="Inter"/>
    </font>
    <font>
      <b/>
      <sz val="10"/>
      <color rgb="FF2E7D32"/>
      <name val="Inter"/>
    </font>
    <font>
      <b/>
      <sz val="12"/>
      <color rgb="FFF47A20"/>
      <name val="Inter"/>
    </font>
    <font>
      <sz val="10"/>
      <color rgb="FF666666"/>
      <name val="Inte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6B4FBB"/>
      </patternFill>
    </fill>
    <fill>
      <patternFill patternType="solid">
        <fgColor rgb="FFEFEAF8"/>
      </patternFill>
    </fill>
    <fill>
      <patternFill patternType="solid">
        <fgColor rgb="FFFDE8D6"/>
      </patternFill>
    </fill>
    <fill>
      <patternFill patternType="solid">
        <fgColor rgb="FFE3F2E1"/>
      </patternFill>
    </fill>
    <fill>
      <patternFill patternType="solid">
        <fgColor rgb="FFFAF8FF"/>
      </patternFill>
    </fill>
    <fill>
      <patternFill patternType="solid">
        <fgColor rgb="FFF4F4F4"/>
      </patternFill>
    </fill>
    <fill>
      <patternFill patternType="solid">
        <fgColor rgb="FFE6F0FB"/>
      </patternFill>
    </fill>
    <fill>
      <patternFill patternType="solid">
        <fgColor rgb="FFF47A20"/>
      </patternFill>
    </fill>
    <fill>
      <patternFill patternType="solid">
        <fgColor rgb="FFF7F5FC"/>
      </patternFill>
    </fill>
    <fill>
      <patternFill patternType="solid">
        <fgColor rgb="FF3FAE5F"/>
      </patternFill>
    </fill>
    <fill>
      <patternFill patternType="solid">
        <fgColor rgb="FF4A3A8C"/>
      </patternFill>
    </fill>
    <fill>
      <patternFill patternType="solid">
        <fgColor rgb="FFEEEEEE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6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right" vertical="center"/>
    </xf>
    <xf numFmtId="0" fontId="1" fillId="0" borderId="0" xfId="0" applyFont="1"/>
    <xf numFmtId="0" fontId="0" fillId="0" borderId="1" xfId="0" applyBorder="1"/>
    <xf numFmtId="0" fontId="10" fillId="0" borderId="0" xfId="0" applyFont="1" applyAlignment="1">
      <alignment horizontal="center" vertical="center"/>
    </xf>
    <xf numFmtId="0" fontId="3" fillId="3" borderId="1" xfId="0" applyFont="1" applyFill="1" applyBorder="1"/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0" fillId="7" borderId="1" xfId="0" applyFill="1" applyBorder="1"/>
    <xf numFmtId="0" fontId="3" fillId="7" borderId="1" xfId="0" applyFont="1" applyFill="1" applyBorder="1"/>
    <xf numFmtId="165" fontId="3" fillId="7" borderId="1" xfId="0" applyNumberFormat="1" applyFont="1" applyFill="1" applyBorder="1" applyAlignment="1">
      <alignment horizontal="right" vertical="center"/>
    </xf>
    <xf numFmtId="0" fontId="0" fillId="3" borderId="1" xfId="0" applyFill="1" applyBorder="1"/>
    <xf numFmtId="165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3" fillId="0" borderId="1" xfId="0" applyFont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3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 wrapText="1"/>
    </xf>
    <xf numFmtId="0" fontId="15" fillId="4" borderId="4" xfId="0" applyFont="1" applyFill="1" applyBorder="1" applyAlignment="1">
      <alignment horizontal="center" vertical="center" wrapText="1"/>
    </xf>
    <xf numFmtId="165" fontId="14" fillId="0" borderId="4" xfId="0" applyNumberFormat="1" applyFont="1" applyBorder="1" applyAlignment="1">
      <alignment horizontal="center" vertical="center" wrapText="1"/>
    </xf>
    <xf numFmtId="165" fontId="13" fillId="0" borderId="4" xfId="0" applyNumberFormat="1" applyFont="1" applyBorder="1" applyAlignment="1">
      <alignment horizontal="right" vertical="center"/>
    </xf>
    <xf numFmtId="0" fontId="16" fillId="5" borderId="4" xfId="0" applyFont="1" applyFill="1" applyBorder="1" applyAlignment="1">
      <alignment horizontal="center" vertical="center" wrapText="1"/>
    </xf>
    <xf numFmtId="0" fontId="0" fillId="13" borderId="4" xfId="0" applyFill="1" applyBorder="1"/>
    <xf numFmtId="0" fontId="13" fillId="13" borderId="4" xfId="0" applyFont="1" applyFill="1" applyBorder="1"/>
    <xf numFmtId="165" fontId="13" fillId="13" borderId="4" xfId="0" applyNumberFormat="1" applyFont="1" applyFill="1" applyBorder="1" applyAlignment="1">
      <alignment horizontal="center" vertical="center" wrapText="1"/>
    </xf>
    <xf numFmtId="165" fontId="17" fillId="13" borderId="4" xfId="0" applyNumberFormat="1" applyFont="1" applyFill="1" applyBorder="1" applyAlignment="1">
      <alignment horizontal="right" vertical="center"/>
    </xf>
    <xf numFmtId="0" fontId="13" fillId="0" borderId="4" xfId="0" applyFont="1" applyBorder="1"/>
    <xf numFmtId="164" fontId="13" fillId="13" borderId="4" xfId="0" applyNumberFormat="1" applyFont="1" applyFill="1" applyBorder="1" applyAlignment="1">
      <alignment horizontal="right" vertical="center"/>
    </xf>
    <xf numFmtId="164" fontId="6" fillId="13" borderId="4" xfId="0" applyNumberFormat="1" applyFont="1" applyFill="1" applyBorder="1" applyAlignment="1">
      <alignment horizontal="right" vertical="center"/>
    </xf>
    <xf numFmtId="0" fontId="18" fillId="0" borderId="0" xfId="0" applyFont="1"/>
    <xf numFmtId="0" fontId="0" fillId="0" borderId="0" xfId="0"/>
    <xf numFmtId="0" fontId="9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4" fillId="10" borderId="1" xfId="0" applyFont="1" applyFill="1" applyBorder="1" applyAlignment="1">
      <alignment horizontal="left" vertical="top" wrapText="1"/>
    </xf>
    <xf numFmtId="0" fontId="5" fillId="0" borderId="0" xfId="0" applyFont="1"/>
    <xf numFmtId="0" fontId="8" fillId="9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0" fillId="0" borderId="4" xfId="0" applyBorder="1"/>
    <xf numFmtId="0" fontId="13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left" vertical="center" wrapText="1"/>
    </xf>
    <xf numFmtId="0" fontId="11" fillId="0" borderId="0" xfId="0" applyFont="1"/>
    <xf numFmtId="0" fontId="7" fillId="4" borderId="0" xfId="0" applyFont="1" applyFill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8" borderId="1" xfId="0" applyFont="1" applyFill="1" applyBorder="1"/>
    <xf numFmtId="167" fontId="3" fillId="0" borderId="1" xfId="1" applyNumberFormat="1" applyFont="1" applyBorder="1" applyAlignment="1">
      <alignment horizontal="right"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S19"/>
  <sheetViews>
    <sheetView tabSelected="1" workbookViewId="0">
      <selection activeCell="B12" sqref="B12:E19"/>
    </sheetView>
  </sheetViews>
  <sheetFormatPr baseColWidth="10" defaultColWidth="8.83203125" defaultRowHeight="15"/>
  <cols>
    <col min="1" max="1" width="2" customWidth="1"/>
    <col min="2" max="3" width="13" customWidth="1"/>
    <col min="4" max="4" width="14" customWidth="1"/>
    <col min="5" max="5" width="4" customWidth="1"/>
    <col min="6" max="7" width="13" customWidth="1"/>
    <col min="8" max="8" width="14" customWidth="1"/>
    <col min="9" max="9" width="4" customWidth="1"/>
    <col min="10" max="11" width="13" customWidth="1"/>
    <col min="12" max="12" width="14" customWidth="1"/>
  </cols>
  <sheetData>
    <row r="1" spans="2:19" ht="49" customHeight="1">
      <c r="B1" s="66" t="s">
        <v>169</v>
      </c>
      <c r="C1" s="48"/>
      <c r="D1" s="49"/>
      <c r="H1" s="52" t="s">
        <v>11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</row>
    <row r="2" spans="2:19" ht="49" customHeight="1">
      <c r="B2" s="65" t="s">
        <v>170</v>
      </c>
      <c r="C2" s="49"/>
      <c r="D2" s="27" t="s">
        <v>171</v>
      </c>
      <c r="H2" s="50" t="s">
        <v>12</v>
      </c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spans="2:19" ht="49" customHeight="1">
      <c r="B3" s="65" t="s">
        <v>172</v>
      </c>
      <c r="C3" s="49"/>
      <c r="D3" s="27" t="s">
        <v>173</v>
      </c>
    </row>
    <row r="4" spans="2:19" ht="49" customHeight="1">
      <c r="B4" s="65" t="s">
        <v>174</v>
      </c>
      <c r="C4" s="49"/>
      <c r="D4" s="67">
        <f>30%*D3</f>
        <v>73844895</v>
      </c>
      <c r="I4" s="53" t="s">
        <v>13</v>
      </c>
      <c r="J4" s="48"/>
      <c r="K4" s="49"/>
      <c r="M4" s="54" t="s">
        <v>14</v>
      </c>
      <c r="N4" s="48"/>
      <c r="O4" s="49"/>
      <c r="Q4" s="55" t="s">
        <v>15</v>
      </c>
      <c r="R4" s="48"/>
      <c r="S4" s="49"/>
    </row>
    <row r="5" spans="2:19" ht="49" customHeight="1">
      <c r="B5" s="65" t="s">
        <v>175</v>
      </c>
      <c r="C5" s="49"/>
      <c r="D5" s="27" t="s">
        <v>176</v>
      </c>
      <c r="I5" s="47" t="s">
        <v>16</v>
      </c>
      <c r="J5" s="48"/>
      <c r="K5" s="49"/>
      <c r="M5" s="47" t="s">
        <v>17</v>
      </c>
      <c r="N5" s="48"/>
      <c r="O5" s="49"/>
      <c r="Q5" s="47" t="s">
        <v>18</v>
      </c>
      <c r="R5" s="48"/>
      <c r="S5" s="49"/>
    </row>
    <row r="6" spans="2:19" ht="49" customHeight="1">
      <c r="B6" s="65" t="s">
        <v>177</v>
      </c>
      <c r="C6" s="49"/>
      <c r="D6" s="27" t="s">
        <v>178</v>
      </c>
      <c r="I6" s="51" t="s">
        <v>224</v>
      </c>
      <c r="J6" s="48"/>
      <c r="K6" s="49"/>
      <c r="L6" s="16" t="s">
        <v>19</v>
      </c>
      <c r="M6" s="51" t="s">
        <v>20</v>
      </c>
      <c r="N6" s="48"/>
      <c r="O6" s="49"/>
      <c r="P6" s="16" t="s">
        <v>19</v>
      </c>
      <c r="Q6" s="51" t="s">
        <v>21</v>
      </c>
      <c r="R6" s="48"/>
      <c r="S6" s="49"/>
    </row>
    <row r="7" spans="2:19" ht="49" customHeight="1">
      <c r="B7" s="65" t="s">
        <v>179</v>
      </c>
      <c r="C7" s="49"/>
      <c r="D7" s="27" t="s">
        <v>180</v>
      </c>
    </row>
    <row r="8" spans="2:19" ht="49" customHeight="1">
      <c r="B8" s="65" t="s">
        <v>181</v>
      </c>
      <c r="C8" s="49"/>
      <c r="D8" s="27" t="s">
        <v>4</v>
      </c>
      <c r="I8" s="56" t="s">
        <v>22</v>
      </c>
      <c r="J8" s="48"/>
      <c r="K8" s="48"/>
      <c r="L8" s="48"/>
      <c r="M8" s="48"/>
      <c r="N8" s="48"/>
      <c r="O8" s="48"/>
      <c r="P8" s="48"/>
      <c r="Q8" s="48"/>
      <c r="R8" s="48"/>
      <c r="S8" s="49"/>
    </row>
    <row r="12" spans="2:19" ht="26" customHeight="1">
      <c r="B12" s="1" t="s">
        <v>0</v>
      </c>
      <c r="C12" s="1" t="s">
        <v>1</v>
      </c>
      <c r="D12" s="1" t="s">
        <v>2</v>
      </c>
      <c r="E12" s="1" t="s">
        <v>3</v>
      </c>
    </row>
    <row r="13" spans="2:19" ht="36" customHeight="1">
      <c r="B13" s="2" t="s">
        <v>4</v>
      </c>
      <c r="C13" s="6">
        <v>27000000</v>
      </c>
      <c r="D13" s="7"/>
      <c r="E13" s="8">
        <v>27000000</v>
      </c>
    </row>
    <row r="14" spans="2:19" ht="260" customHeight="1">
      <c r="B14" s="9" t="s">
        <v>5</v>
      </c>
      <c r="C14" s="6">
        <v>27000000</v>
      </c>
      <c r="D14" s="7"/>
      <c r="E14" s="8">
        <v>27000000</v>
      </c>
    </row>
    <row r="15" spans="2:19">
      <c r="B15" s="2" t="s">
        <v>6</v>
      </c>
      <c r="C15" s="6">
        <v>27000000</v>
      </c>
      <c r="D15" s="7">
        <v>208000000</v>
      </c>
      <c r="E15" s="8">
        <v>235000000</v>
      </c>
    </row>
    <row r="16" spans="2:19" ht="40" customHeight="1">
      <c r="B16" s="9" t="s">
        <v>7</v>
      </c>
      <c r="C16" s="6">
        <v>54000000</v>
      </c>
      <c r="D16" s="7">
        <v>208000000</v>
      </c>
      <c r="E16" s="8">
        <v>262000000</v>
      </c>
    </row>
    <row r="17" spans="2:5">
      <c r="B17" s="2" t="s">
        <v>8</v>
      </c>
      <c r="C17" s="6">
        <v>54000000</v>
      </c>
      <c r="D17" s="7">
        <v>208000000</v>
      </c>
      <c r="E17" s="8">
        <v>262000000</v>
      </c>
    </row>
    <row r="18" spans="2:5">
      <c r="B18" s="9" t="s">
        <v>9</v>
      </c>
      <c r="C18" s="6">
        <v>54000000</v>
      </c>
      <c r="D18" s="7">
        <v>416000000</v>
      </c>
      <c r="E18" s="8">
        <v>470000000</v>
      </c>
    </row>
    <row r="19" spans="2:5">
      <c r="B19" s="12" t="s">
        <v>10</v>
      </c>
      <c r="C19" s="13">
        <v>243000000</v>
      </c>
      <c r="D19" s="13">
        <v>1040000000</v>
      </c>
      <c r="E19" s="13">
        <v>1283000000</v>
      </c>
    </row>
  </sheetData>
  <mergeCells count="20">
    <mergeCell ref="B7:C7"/>
    <mergeCell ref="B8:C8"/>
    <mergeCell ref="I8:S8"/>
    <mergeCell ref="B1:D1"/>
    <mergeCell ref="B2:C2"/>
    <mergeCell ref="B5:C5"/>
    <mergeCell ref="B6:C6"/>
    <mergeCell ref="B4:C4"/>
    <mergeCell ref="B3:C3"/>
    <mergeCell ref="H1:S1"/>
    <mergeCell ref="I4:K4"/>
    <mergeCell ref="M4:O4"/>
    <mergeCell ref="Q4:S4"/>
    <mergeCell ref="I6:K6"/>
    <mergeCell ref="Q5:S5"/>
    <mergeCell ref="H2:S2"/>
    <mergeCell ref="Q6:S6"/>
    <mergeCell ref="I5:K5"/>
    <mergeCell ref="M6:O6"/>
    <mergeCell ref="M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"/>
  <sheetViews>
    <sheetView workbookViewId="0">
      <pane ySplit="3" topLeftCell="A43" activePane="bottomLeft" state="frozen"/>
      <selection pane="bottomLeft" activeCell="L41" sqref="L41"/>
    </sheetView>
  </sheetViews>
  <sheetFormatPr baseColWidth="10" defaultColWidth="8.83203125" defaultRowHeight="15"/>
  <cols>
    <col min="1" max="1" width="6" customWidth="1"/>
    <col min="2" max="2" width="9" customWidth="1"/>
    <col min="3" max="3" width="50" customWidth="1"/>
    <col min="4" max="4" width="16" customWidth="1"/>
    <col min="5" max="5" width="30" customWidth="1"/>
    <col min="6" max="12" width="10.33203125" customWidth="1"/>
    <col min="13" max="13" width="15" customWidth="1"/>
  </cols>
  <sheetData>
    <row r="1" spans="1:12" ht="28" customHeight="1">
      <c r="A1" s="63" t="s">
        <v>23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3" spans="1:12" ht="34" customHeight="1">
      <c r="A3" s="29" t="s">
        <v>24</v>
      </c>
      <c r="B3" s="29" t="s">
        <v>25</v>
      </c>
      <c r="C3" s="29" t="s">
        <v>26</v>
      </c>
      <c r="D3" s="29" t="s">
        <v>27</v>
      </c>
      <c r="E3" s="29" t="s">
        <v>28</v>
      </c>
      <c r="F3" s="29" t="s">
        <v>4</v>
      </c>
      <c r="G3" s="29" t="s">
        <v>5</v>
      </c>
      <c r="H3" s="29" t="s">
        <v>6</v>
      </c>
      <c r="I3" s="29" t="s">
        <v>7</v>
      </c>
      <c r="J3" s="29" t="s">
        <v>8</v>
      </c>
      <c r="K3" s="29" t="s">
        <v>9</v>
      </c>
      <c r="L3" s="29" t="s">
        <v>29</v>
      </c>
    </row>
    <row r="4" spans="1:12" ht="26" customHeight="1">
      <c r="A4" s="62" t="s">
        <v>30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12" ht="46" customHeight="1">
      <c r="A5" s="31" t="s">
        <v>31</v>
      </c>
      <c r="B5" s="32" t="s">
        <v>32</v>
      </c>
      <c r="C5" s="33" t="s">
        <v>33</v>
      </c>
      <c r="D5" s="34" t="s">
        <v>34</v>
      </c>
      <c r="E5" s="33" t="s">
        <v>35</v>
      </c>
      <c r="F5" s="35">
        <v>34</v>
      </c>
      <c r="G5" s="35">
        <v>22</v>
      </c>
      <c r="H5" s="35"/>
      <c r="I5" s="35"/>
      <c r="J5" s="35"/>
      <c r="K5" s="35"/>
      <c r="L5" s="36">
        <v>56</v>
      </c>
    </row>
    <row r="6" spans="1:12" ht="46" customHeight="1">
      <c r="A6" s="31" t="s">
        <v>36</v>
      </c>
      <c r="B6" s="32" t="s">
        <v>32</v>
      </c>
      <c r="C6" s="33" t="s">
        <v>37</v>
      </c>
      <c r="D6" s="34" t="s">
        <v>34</v>
      </c>
      <c r="E6" s="33" t="s">
        <v>35</v>
      </c>
      <c r="F6" s="35">
        <v>12</v>
      </c>
      <c r="G6" s="35">
        <v>18</v>
      </c>
      <c r="H6" s="35"/>
      <c r="I6" s="35"/>
      <c r="J6" s="35"/>
      <c r="K6" s="35"/>
      <c r="L6" s="36">
        <v>30</v>
      </c>
    </row>
    <row r="7" spans="1:12" ht="46" customHeight="1">
      <c r="A7" s="31" t="s">
        <v>38</v>
      </c>
      <c r="B7" s="32" t="s">
        <v>32</v>
      </c>
      <c r="C7" s="33" t="s">
        <v>39</v>
      </c>
      <c r="D7" s="34" t="s">
        <v>34</v>
      </c>
      <c r="E7" s="33" t="s">
        <v>40</v>
      </c>
      <c r="F7" s="35">
        <v>46</v>
      </c>
      <c r="G7" s="35">
        <v>24</v>
      </c>
      <c r="H7" s="35"/>
      <c r="I7" s="35"/>
      <c r="J7" s="35"/>
      <c r="K7" s="35"/>
      <c r="L7" s="36">
        <v>70</v>
      </c>
    </row>
    <row r="8" spans="1:12" ht="46" customHeight="1">
      <c r="A8" s="31" t="s">
        <v>41</v>
      </c>
      <c r="B8" s="32" t="s">
        <v>32</v>
      </c>
      <c r="C8" s="33" t="s">
        <v>42</v>
      </c>
      <c r="D8" s="34" t="s">
        <v>34</v>
      </c>
      <c r="E8" s="33" t="s">
        <v>43</v>
      </c>
      <c r="F8" s="35">
        <v>18</v>
      </c>
      <c r="G8" s="35">
        <v>22</v>
      </c>
      <c r="H8" s="35"/>
      <c r="I8" s="35"/>
      <c r="J8" s="35"/>
      <c r="K8" s="35"/>
      <c r="L8" s="36">
        <v>40</v>
      </c>
    </row>
    <row r="9" spans="1:12" ht="46" customHeight="1">
      <c r="A9" s="31" t="s">
        <v>44</v>
      </c>
      <c r="B9" s="32" t="s">
        <v>32</v>
      </c>
      <c r="C9" s="33" t="s">
        <v>45</v>
      </c>
      <c r="D9" s="34" t="s">
        <v>34</v>
      </c>
      <c r="E9" s="33" t="s">
        <v>46</v>
      </c>
      <c r="F9" s="35">
        <v>61</v>
      </c>
      <c r="G9" s="35">
        <v>49</v>
      </c>
      <c r="H9" s="35"/>
      <c r="I9" s="35"/>
      <c r="J9" s="35"/>
      <c r="K9" s="35"/>
      <c r="L9" s="36">
        <v>110</v>
      </c>
    </row>
    <row r="10" spans="1:12" ht="46" customHeight="1">
      <c r="A10" s="31" t="s">
        <v>47</v>
      </c>
      <c r="B10" s="32" t="s">
        <v>32</v>
      </c>
      <c r="C10" s="33" t="s">
        <v>48</v>
      </c>
      <c r="D10" s="37" t="s">
        <v>49</v>
      </c>
      <c r="E10" s="33" t="s">
        <v>50</v>
      </c>
      <c r="F10" s="35">
        <v>14</v>
      </c>
      <c r="G10" s="35">
        <v>26</v>
      </c>
      <c r="H10" s="35"/>
      <c r="I10" s="35"/>
      <c r="J10" s="35"/>
      <c r="K10" s="35"/>
      <c r="L10" s="36">
        <v>40</v>
      </c>
    </row>
    <row r="11" spans="1:12" ht="46" customHeight="1">
      <c r="A11" s="31" t="s">
        <v>51</v>
      </c>
      <c r="B11" s="32" t="s">
        <v>32</v>
      </c>
      <c r="C11" s="33" t="s">
        <v>52</v>
      </c>
      <c r="D11" s="37" t="s">
        <v>49</v>
      </c>
      <c r="E11" s="33" t="s">
        <v>53</v>
      </c>
      <c r="F11" s="35">
        <v>70</v>
      </c>
      <c r="G11" s="35">
        <v>30</v>
      </c>
      <c r="H11" s="35"/>
      <c r="I11" s="35"/>
      <c r="J11" s="35"/>
      <c r="K11" s="35"/>
      <c r="L11" s="36">
        <v>100</v>
      </c>
    </row>
    <row r="12" spans="1:12" ht="46" customHeight="1">
      <c r="A12" s="31" t="s">
        <v>54</v>
      </c>
      <c r="B12" s="32" t="s">
        <v>32</v>
      </c>
      <c r="C12" s="33" t="s">
        <v>55</v>
      </c>
      <c r="D12" s="37" t="s">
        <v>49</v>
      </c>
      <c r="E12" s="33" t="s">
        <v>53</v>
      </c>
      <c r="F12" s="35">
        <v>30</v>
      </c>
      <c r="G12" s="35">
        <v>30</v>
      </c>
      <c r="H12" s="35"/>
      <c r="I12" s="35"/>
      <c r="J12" s="35"/>
      <c r="K12" s="35"/>
      <c r="L12" s="36">
        <v>60</v>
      </c>
    </row>
    <row r="13" spans="1:12" ht="46" customHeight="1">
      <c r="A13" s="31" t="s">
        <v>56</v>
      </c>
      <c r="B13" s="32" t="s">
        <v>32</v>
      </c>
      <c r="C13" s="33" t="s">
        <v>57</v>
      </c>
      <c r="D13" s="37" t="s">
        <v>49</v>
      </c>
      <c r="E13" s="33" t="s">
        <v>58</v>
      </c>
      <c r="F13" s="35">
        <v>27</v>
      </c>
      <c r="G13" s="35">
        <v>33</v>
      </c>
      <c r="H13" s="35"/>
      <c r="I13" s="35"/>
      <c r="J13" s="35"/>
      <c r="K13" s="35"/>
      <c r="L13" s="36">
        <v>60</v>
      </c>
    </row>
    <row r="14" spans="1:12" ht="46" customHeight="1">
      <c r="A14" s="31" t="s">
        <v>59</v>
      </c>
      <c r="B14" s="32" t="s">
        <v>32</v>
      </c>
      <c r="C14" s="33" t="s">
        <v>60</v>
      </c>
      <c r="D14" s="37" t="s">
        <v>49</v>
      </c>
      <c r="E14" s="33" t="s">
        <v>43</v>
      </c>
      <c r="F14" s="35">
        <v>36</v>
      </c>
      <c r="G14" s="35">
        <v>24</v>
      </c>
      <c r="H14" s="35"/>
      <c r="I14" s="35"/>
      <c r="J14" s="35"/>
      <c r="K14" s="35"/>
      <c r="L14" s="36">
        <v>60</v>
      </c>
    </row>
    <row r="15" spans="1:12" ht="46" customHeight="1">
      <c r="A15" s="31" t="s">
        <v>61</v>
      </c>
      <c r="B15" s="32" t="s">
        <v>32</v>
      </c>
      <c r="C15" s="33" t="s">
        <v>62</v>
      </c>
      <c r="D15" s="37" t="s">
        <v>49</v>
      </c>
      <c r="E15" s="33" t="s">
        <v>50</v>
      </c>
      <c r="F15" s="35">
        <v>22</v>
      </c>
      <c r="G15" s="35">
        <v>42</v>
      </c>
      <c r="H15" s="35"/>
      <c r="I15" s="35"/>
      <c r="J15" s="35"/>
      <c r="K15" s="35"/>
      <c r="L15" s="36">
        <v>64</v>
      </c>
    </row>
    <row r="16" spans="1:12" ht="64" customHeight="1">
      <c r="A16" s="31" t="s">
        <v>63</v>
      </c>
      <c r="B16" s="32" t="s">
        <v>32</v>
      </c>
      <c r="C16" s="33" t="s">
        <v>64</v>
      </c>
      <c r="D16" s="34" t="s">
        <v>34</v>
      </c>
      <c r="E16" s="33" t="s">
        <v>35</v>
      </c>
      <c r="F16" s="35">
        <v>22</v>
      </c>
      <c r="G16" s="35">
        <v>18</v>
      </c>
      <c r="H16" s="35"/>
      <c r="I16" s="35"/>
      <c r="J16" s="35"/>
      <c r="K16" s="35"/>
      <c r="L16" s="36">
        <v>40</v>
      </c>
    </row>
    <row r="17" spans="1:12" ht="46" customHeight="1">
      <c r="A17" s="31" t="s">
        <v>65</v>
      </c>
      <c r="B17" s="32" t="s">
        <v>32</v>
      </c>
      <c r="C17" s="33" t="s">
        <v>66</v>
      </c>
      <c r="D17" s="34" t="s">
        <v>34</v>
      </c>
      <c r="E17" s="33" t="s">
        <v>67</v>
      </c>
      <c r="F17" s="35">
        <v>26</v>
      </c>
      <c r="G17" s="35">
        <v>14</v>
      </c>
      <c r="H17" s="35"/>
      <c r="I17" s="35"/>
      <c r="J17" s="35"/>
      <c r="K17" s="35"/>
      <c r="L17" s="36">
        <v>40</v>
      </c>
    </row>
    <row r="18" spans="1:12" ht="26" customHeight="1">
      <c r="A18" s="62" t="s">
        <v>68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</row>
    <row r="19" spans="1:12" ht="46" customHeight="1">
      <c r="A19" s="31" t="s">
        <v>69</v>
      </c>
      <c r="B19" s="32" t="s">
        <v>70</v>
      </c>
      <c r="C19" s="33" t="s">
        <v>71</v>
      </c>
      <c r="D19" s="34" t="s">
        <v>34</v>
      </c>
      <c r="E19" s="33" t="s">
        <v>35</v>
      </c>
      <c r="F19" s="35"/>
      <c r="G19" s="35"/>
      <c r="H19" s="35">
        <v>31</v>
      </c>
      <c r="I19" s="35">
        <v>27</v>
      </c>
      <c r="J19" s="35">
        <v>32</v>
      </c>
      <c r="K19" s="35"/>
      <c r="L19" s="36">
        <v>90</v>
      </c>
    </row>
    <row r="20" spans="1:12" ht="46" customHeight="1">
      <c r="A20" s="31" t="s">
        <v>72</v>
      </c>
      <c r="B20" s="32" t="s">
        <v>70</v>
      </c>
      <c r="C20" s="33" t="s">
        <v>73</v>
      </c>
      <c r="D20" s="34" t="s">
        <v>34</v>
      </c>
      <c r="E20" s="33" t="s">
        <v>53</v>
      </c>
      <c r="F20" s="35"/>
      <c r="G20" s="35"/>
      <c r="H20" s="35">
        <v>58</v>
      </c>
      <c r="I20" s="35">
        <v>46</v>
      </c>
      <c r="J20" s="35">
        <v>26</v>
      </c>
      <c r="K20" s="35"/>
      <c r="L20" s="36">
        <v>130</v>
      </c>
    </row>
    <row r="21" spans="1:12" ht="64" customHeight="1">
      <c r="A21" s="31" t="s">
        <v>74</v>
      </c>
      <c r="B21" s="32" t="s">
        <v>70</v>
      </c>
      <c r="C21" s="33" t="s">
        <v>75</v>
      </c>
      <c r="D21" s="34" t="s">
        <v>34</v>
      </c>
      <c r="E21" s="33" t="s">
        <v>76</v>
      </c>
      <c r="F21" s="35"/>
      <c r="G21" s="35"/>
      <c r="H21" s="35">
        <v>22</v>
      </c>
      <c r="I21" s="35">
        <v>38</v>
      </c>
      <c r="J21" s="35">
        <v>50</v>
      </c>
      <c r="K21" s="35"/>
      <c r="L21" s="36">
        <v>110</v>
      </c>
    </row>
    <row r="22" spans="1:12" ht="30" customHeight="1">
      <c r="A22" s="31" t="s">
        <v>77</v>
      </c>
      <c r="B22" s="32" t="s">
        <v>70</v>
      </c>
      <c r="C22" s="33" t="s">
        <v>78</v>
      </c>
      <c r="D22" s="34" t="s">
        <v>34</v>
      </c>
      <c r="E22" s="33" t="s">
        <v>35</v>
      </c>
      <c r="F22" s="35"/>
      <c r="G22" s="35"/>
      <c r="H22" s="35">
        <v>24</v>
      </c>
      <c r="I22" s="35">
        <v>18</v>
      </c>
      <c r="J22" s="35">
        <v>18</v>
      </c>
      <c r="K22" s="35"/>
      <c r="L22" s="36">
        <v>60</v>
      </c>
    </row>
    <row r="23" spans="1:12" ht="46" customHeight="1">
      <c r="A23" s="31" t="s">
        <v>79</v>
      </c>
      <c r="B23" s="32" t="s">
        <v>70</v>
      </c>
      <c r="C23" s="33" t="s">
        <v>80</v>
      </c>
      <c r="D23" s="34" t="s">
        <v>34</v>
      </c>
      <c r="E23" s="33" t="s">
        <v>46</v>
      </c>
      <c r="F23" s="35"/>
      <c r="G23" s="35"/>
      <c r="H23" s="35">
        <v>30</v>
      </c>
      <c r="I23" s="35">
        <v>30</v>
      </c>
      <c r="J23" s="35">
        <v>40</v>
      </c>
      <c r="K23" s="35"/>
      <c r="L23" s="36">
        <v>100</v>
      </c>
    </row>
    <row r="24" spans="1:12" ht="46" customHeight="1">
      <c r="A24" s="31" t="s">
        <v>81</v>
      </c>
      <c r="B24" s="32" t="s">
        <v>70</v>
      </c>
      <c r="C24" s="33" t="s">
        <v>82</v>
      </c>
      <c r="D24" s="34" t="s">
        <v>34</v>
      </c>
      <c r="E24" s="33" t="s">
        <v>43</v>
      </c>
      <c r="F24" s="35"/>
      <c r="G24" s="35"/>
      <c r="H24" s="35">
        <v>45</v>
      </c>
      <c r="I24" s="35">
        <v>27</v>
      </c>
      <c r="J24" s="35">
        <v>18</v>
      </c>
      <c r="K24" s="35"/>
      <c r="L24" s="36">
        <v>90</v>
      </c>
    </row>
    <row r="25" spans="1:12" ht="46" customHeight="1">
      <c r="A25" s="31" t="s">
        <v>83</v>
      </c>
      <c r="B25" s="32" t="s">
        <v>70</v>
      </c>
      <c r="C25" s="33" t="s">
        <v>84</v>
      </c>
      <c r="D25" s="37" t="s">
        <v>49</v>
      </c>
      <c r="E25" s="33" t="s">
        <v>53</v>
      </c>
      <c r="F25" s="35"/>
      <c r="G25" s="35"/>
      <c r="H25" s="35">
        <v>32</v>
      </c>
      <c r="I25" s="35">
        <v>52</v>
      </c>
      <c r="J25" s="35">
        <v>46</v>
      </c>
      <c r="K25" s="35"/>
      <c r="L25" s="36">
        <v>130</v>
      </c>
    </row>
    <row r="26" spans="1:12" ht="46" customHeight="1">
      <c r="A26" s="31" t="s">
        <v>85</v>
      </c>
      <c r="B26" s="32" t="s">
        <v>70</v>
      </c>
      <c r="C26" s="33" t="s">
        <v>86</v>
      </c>
      <c r="D26" s="37" t="s">
        <v>49</v>
      </c>
      <c r="E26" s="33" t="s">
        <v>87</v>
      </c>
      <c r="F26" s="35"/>
      <c r="G26" s="35"/>
      <c r="H26" s="35">
        <v>31</v>
      </c>
      <c r="I26" s="35">
        <v>36</v>
      </c>
      <c r="J26" s="35">
        <v>23</v>
      </c>
      <c r="K26" s="35"/>
      <c r="L26" s="36">
        <v>90</v>
      </c>
    </row>
    <row r="27" spans="1:12" ht="46" customHeight="1">
      <c r="A27" s="31" t="s">
        <v>88</v>
      </c>
      <c r="B27" s="32" t="s">
        <v>70</v>
      </c>
      <c r="C27" s="33" t="s">
        <v>89</v>
      </c>
      <c r="D27" s="37" t="s">
        <v>49</v>
      </c>
      <c r="E27" s="33" t="s">
        <v>58</v>
      </c>
      <c r="F27" s="35"/>
      <c r="G27" s="35"/>
      <c r="H27" s="35">
        <v>21</v>
      </c>
      <c r="I27" s="35">
        <v>32</v>
      </c>
      <c r="J27" s="35">
        <v>17</v>
      </c>
      <c r="K27" s="35"/>
      <c r="L27" s="36">
        <v>70</v>
      </c>
    </row>
    <row r="28" spans="1:12" ht="46" customHeight="1">
      <c r="A28" s="31" t="s">
        <v>90</v>
      </c>
      <c r="B28" s="32" t="s">
        <v>70</v>
      </c>
      <c r="C28" s="33" t="s">
        <v>91</v>
      </c>
      <c r="D28" s="37" t="s">
        <v>49</v>
      </c>
      <c r="E28" s="33" t="s">
        <v>50</v>
      </c>
      <c r="F28" s="35"/>
      <c r="G28" s="35"/>
      <c r="H28" s="35">
        <v>10</v>
      </c>
      <c r="I28" s="35">
        <v>20</v>
      </c>
      <c r="J28" s="35">
        <v>20</v>
      </c>
      <c r="K28" s="35"/>
      <c r="L28" s="36">
        <v>50</v>
      </c>
    </row>
    <row r="29" spans="1:12" ht="46" customHeight="1">
      <c r="A29" s="31" t="s">
        <v>92</v>
      </c>
      <c r="B29" s="32" t="s">
        <v>70</v>
      </c>
      <c r="C29" s="33" t="s">
        <v>93</v>
      </c>
      <c r="D29" s="37" t="s">
        <v>49</v>
      </c>
      <c r="E29" s="33" t="s">
        <v>50</v>
      </c>
      <c r="F29" s="35"/>
      <c r="G29" s="35"/>
      <c r="H29" s="35">
        <v>16</v>
      </c>
      <c r="I29" s="35">
        <v>9</v>
      </c>
      <c r="J29" s="35">
        <v>10</v>
      </c>
      <c r="K29" s="35"/>
      <c r="L29" s="36">
        <v>35</v>
      </c>
    </row>
    <row r="30" spans="1:12" ht="46" customHeight="1">
      <c r="A30" s="31" t="s">
        <v>94</v>
      </c>
      <c r="B30" s="32" t="s">
        <v>70</v>
      </c>
      <c r="C30" s="33" t="s">
        <v>62</v>
      </c>
      <c r="D30" s="37" t="s">
        <v>49</v>
      </c>
      <c r="E30" s="33" t="s">
        <v>50</v>
      </c>
      <c r="F30" s="35"/>
      <c r="G30" s="35"/>
      <c r="H30" s="35">
        <v>24</v>
      </c>
      <c r="I30" s="35">
        <v>28</v>
      </c>
      <c r="J30" s="35">
        <v>28</v>
      </c>
      <c r="K30" s="35"/>
      <c r="L30" s="36">
        <v>80</v>
      </c>
    </row>
    <row r="31" spans="1:12" ht="64" customHeight="1">
      <c r="A31" s="31" t="s">
        <v>95</v>
      </c>
      <c r="B31" s="32" t="s">
        <v>70</v>
      </c>
      <c r="C31" s="33" t="s">
        <v>96</v>
      </c>
      <c r="D31" s="34" t="s">
        <v>34</v>
      </c>
      <c r="E31" s="33" t="s">
        <v>46</v>
      </c>
      <c r="F31" s="35"/>
      <c r="G31" s="35"/>
      <c r="H31" s="35">
        <v>20</v>
      </c>
      <c r="I31" s="35">
        <v>18</v>
      </c>
      <c r="J31" s="35">
        <v>12</v>
      </c>
      <c r="K31" s="35"/>
      <c r="L31" s="36">
        <v>50</v>
      </c>
    </row>
    <row r="32" spans="1:12" ht="64" customHeight="1">
      <c r="A32" s="31" t="s">
        <v>97</v>
      </c>
      <c r="B32" s="32" t="s">
        <v>70</v>
      </c>
      <c r="C32" s="33" t="s">
        <v>98</v>
      </c>
      <c r="D32" s="34" t="s">
        <v>34</v>
      </c>
      <c r="E32" s="33" t="s">
        <v>99</v>
      </c>
      <c r="F32" s="35"/>
      <c r="G32" s="35"/>
      <c r="H32" s="35">
        <v>8</v>
      </c>
      <c r="I32" s="35">
        <v>10</v>
      </c>
      <c r="J32" s="35">
        <v>12</v>
      </c>
      <c r="K32" s="35"/>
      <c r="L32" s="36">
        <v>30</v>
      </c>
    </row>
    <row r="33" spans="1:12" ht="26" customHeight="1">
      <c r="A33" s="62" t="s">
        <v>100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2" ht="46" customHeight="1">
      <c r="A34" s="31" t="s">
        <v>101</v>
      </c>
      <c r="B34" s="32" t="s">
        <v>102</v>
      </c>
      <c r="C34" s="33" t="s">
        <v>103</v>
      </c>
      <c r="D34" s="34" t="s">
        <v>34</v>
      </c>
      <c r="E34" s="33" t="s">
        <v>76</v>
      </c>
      <c r="F34" s="35"/>
      <c r="G34" s="35"/>
      <c r="H34" s="35"/>
      <c r="I34" s="35"/>
      <c r="J34" s="35"/>
      <c r="K34" s="35">
        <v>60</v>
      </c>
      <c r="L34" s="36">
        <v>60</v>
      </c>
    </row>
    <row r="35" spans="1:12" ht="46" customHeight="1">
      <c r="A35" s="31" t="s">
        <v>104</v>
      </c>
      <c r="B35" s="32" t="s">
        <v>102</v>
      </c>
      <c r="C35" s="33" t="s">
        <v>105</v>
      </c>
      <c r="D35" s="37" t="s">
        <v>49</v>
      </c>
      <c r="E35" s="33" t="s">
        <v>53</v>
      </c>
      <c r="F35" s="35"/>
      <c r="G35" s="35"/>
      <c r="H35" s="35"/>
      <c r="I35" s="35"/>
      <c r="J35" s="35"/>
      <c r="K35" s="35">
        <v>90</v>
      </c>
      <c r="L35" s="36">
        <v>90</v>
      </c>
    </row>
    <row r="36" spans="1:12" ht="46" customHeight="1">
      <c r="A36" s="31" t="s">
        <v>106</v>
      </c>
      <c r="B36" s="32" t="s">
        <v>102</v>
      </c>
      <c r="C36" s="33" t="s">
        <v>107</v>
      </c>
      <c r="D36" s="34" t="s">
        <v>34</v>
      </c>
      <c r="E36" s="33" t="s">
        <v>46</v>
      </c>
      <c r="F36" s="35"/>
      <c r="G36" s="35"/>
      <c r="H36" s="35"/>
      <c r="I36" s="35"/>
      <c r="J36" s="35"/>
      <c r="K36" s="35">
        <v>70</v>
      </c>
      <c r="L36" s="36">
        <v>70</v>
      </c>
    </row>
    <row r="37" spans="1:12" ht="46" customHeight="1">
      <c r="A37" s="31" t="s">
        <v>108</v>
      </c>
      <c r="B37" s="32" t="s">
        <v>102</v>
      </c>
      <c r="C37" s="33" t="s">
        <v>109</v>
      </c>
      <c r="D37" s="37" t="s">
        <v>49</v>
      </c>
      <c r="E37" s="33" t="s">
        <v>43</v>
      </c>
      <c r="F37" s="35"/>
      <c r="G37" s="35"/>
      <c r="H37" s="35"/>
      <c r="I37" s="35"/>
      <c r="J37" s="35"/>
      <c r="K37" s="35">
        <v>45</v>
      </c>
      <c r="L37" s="36">
        <v>45</v>
      </c>
    </row>
    <row r="38" spans="1:12" ht="46" customHeight="1">
      <c r="A38" s="31" t="s">
        <v>110</v>
      </c>
      <c r="B38" s="32" t="s">
        <v>102</v>
      </c>
      <c r="C38" s="33" t="s">
        <v>111</v>
      </c>
      <c r="D38" s="37" t="s">
        <v>49</v>
      </c>
      <c r="E38" s="33" t="s">
        <v>35</v>
      </c>
      <c r="F38" s="35"/>
      <c r="G38" s="35"/>
      <c r="H38" s="35"/>
      <c r="I38" s="35"/>
      <c r="J38" s="35"/>
      <c r="K38" s="35">
        <v>45</v>
      </c>
      <c r="L38" s="36">
        <v>45</v>
      </c>
    </row>
    <row r="39" spans="1:12" ht="46" customHeight="1">
      <c r="A39" s="31" t="s">
        <v>112</v>
      </c>
      <c r="B39" s="32" t="s">
        <v>102</v>
      </c>
      <c r="C39" s="33" t="s">
        <v>113</v>
      </c>
      <c r="D39" s="37" t="s">
        <v>49</v>
      </c>
      <c r="E39" s="33" t="s">
        <v>50</v>
      </c>
      <c r="F39" s="35"/>
      <c r="G39" s="35"/>
      <c r="H39" s="35"/>
      <c r="I39" s="35"/>
      <c r="J39" s="35"/>
      <c r="K39" s="35">
        <v>35</v>
      </c>
      <c r="L39" s="36">
        <v>35</v>
      </c>
    </row>
    <row r="40" spans="1:12" ht="24" customHeight="1">
      <c r="A40" s="38"/>
      <c r="B40" s="38"/>
      <c r="C40" s="39" t="s">
        <v>114</v>
      </c>
      <c r="D40" s="38"/>
      <c r="E40" s="38"/>
      <c r="F40" s="40">
        <v>418</v>
      </c>
      <c r="G40" s="40">
        <v>352</v>
      </c>
      <c r="H40" s="40">
        <v>372</v>
      </c>
      <c r="I40" s="40">
        <v>391</v>
      </c>
      <c r="J40" s="40">
        <v>352</v>
      </c>
      <c r="K40" s="40">
        <v>345</v>
      </c>
      <c r="L40" s="41">
        <v>2230</v>
      </c>
    </row>
    <row r="41" spans="1:12" ht="24" customHeight="1">
      <c r="A41" s="30"/>
      <c r="B41" s="30"/>
      <c r="C41" s="42" t="s">
        <v>115</v>
      </c>
      <c r="D41" s="30"/>
      <c r="E41" s="30"/>
      <c r="F41" s="43">
        <v>1818300</v>
      </c>
      <c r="G41" s="43">
        <v>1531200</v>
      </c>
      <c r="H41" s="43">
        <v>1618200</v>
      </c>
      <c r="I41" s="43">
        <v>1700850</v>
      </c>
      <c r="J41" s="43">
        <v>1531200</v>
      </c>
      <c r="K41" s="43">
        <v>1500750</v>
      </c>
      <c r="L41" s="44">
        <v>9700500</v>
      </c>
    </row>
    <row r="43" spans="1:12" ht="24" customHeight="1">
      <c r="A43" s="62" t="s">
        <v>116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</row>
    <row r="44" spans="1:12" ht="24" customHeight="1">
      <c r="A44" s="60" t="s">
        <v>117</v>
      </c>
      <c r="B44" s="61"/>
      <c r="C44" s="61"/>
      <c r="D44" s="61"/>
      <c r="E44" s="61"/>
      <c r="F44" s="60" t="s">
        <v>118</v>
      </c>
      <c r="G44" s="61"/>
      <c r="H44" s="61"/>
      <c r="I44" s="60" t="s">
        <v>119</v>
      </c>
      <c r="J44" s="61"/>
      <c r="K44" s="61"/>
      <c r="L44" s="61"/>
    </row>
    <row r="45" spans="1:12" ht="26" customHeight="1">
      <c r="A45" s="57" t="s">
        <v>120</v>
      </c>
      <c r="B45" s="58"/>
      <c r="C45" s="58"/>
      <c r="D45" s="58"/>
      <c r="E45" s="58"/>
      <c r="F45" s="59" t="s">
        <v>121</v>
      </c>
      <c r="G45" s="58"/>
      <c r="H45" s="58"/>
      <c r="I45" s="57" t="s">
        <v>122</v>
      </c>
      <c r="J45" s="58"/>
      <c r="K45" s="58"/>
      <c r="L45" s="58"/>
    </row>
    <row r="46" spans="1:12" ht="26" customHeight="1">
      <c r="A46" s="57" t="s">
        <v>123</v>
      </c>
      <c r="B46" s="58"/>
      <c r="C46" s="58"/>
      <c r="D46" s="58"/>
      <c r="E46" s="58"/>
      <c r="F46" s="59" t="s">
        <v>124</v>
      </c>
      <c r="G46" s="58"/>
      <c r="H46" s="58"/>
      <c r="I46" s="57" t="s">
        <v>125</v>
      </c>
      <c r="J46" s="58"/>
      <c r="K46" s="58"/>
      <c r="L46" s="58"/>
    </row>
    <row r="47" spans="1:12" ht="26" customHeight="1">
      <c r="A47" s="57" t="s">
        <v>126</v>
      </c>
      <c r="B47" s="58"/>
      <c r="C47" s="58"/>
      <c r="D47" s="58"/>
      <c r="E47" s="58"/>
      <c r="F47" s="59" t="s">
        <v>127</v>
      </c>
      <c r="G47" s="58"/>
      <c r="H47" s="58"/>
      <c r="I47" s="57" t="s">
        <v>128</v>
      </c>
      <c r="J47" s="58"/>
      <c r="K47" s="58"/>
      <c r="L47" s="58"/>
    </row>
    <row r="48" spans="1:12" ht="26" customHeight="1">
      <c r="A48" s="57" t="s">
        <v>129</v>
      </c>
      <c r="B48" s="58"/>
      <c r="C48" s="58"/>
      <c r="D48" s="58"/>
      <c r="E48" s="58"/>
      <c r="F48" s="59" t="s">
        <v>130</v>
      </c>
      <c r="G48" s="58"/>
      <c r="H48" s="58"/>
      <c r="I48" s="57" t="s">
        <v>131</v>
      </c>
      <c r="J48" s="58"/>
      <c r="K48" s="58"/>
      <c r="L48" s="58"/>
    </row>
    <row r="49" spans="1:12" ht="26" customHeight="1">
      <c r="A49" s="57" t="s">
        <v>132</v>
      </c>
      <c r="B49" s="58"/>
      <c r="C49" s="58"/>
      <c r="D49" s="58"/>
      <c r="E49" s="58"/>
      <c r="F49" s="59" t="s">
        <v>130</v>
      </c>
      <c r="G49" s="58"/>
      <c r="H49" s="58"/>
      <c r="I49" s="57" t="s">
        <v>133</v>
      </c>
      <c r="J49" s="58"/>
      <c r="K49" s="58"/>
      <c r="L49" s="58"/>
    </row>
    <row r="50" spans="1:12" ht="26" customHeight="1">
      <c r="A50" s="57" t="s">
        <v>134</v>
      </c>
      <c r="B50" s="58"/>
      <c r="C50" s="58"/>
      <c r="D50" s="58"/>
      <c r="E50" s="58"/>
      <c r="F50" s="59" t="s">
        <v>135</v>
      </c>
      <c r="G50" s="58"/>
      <c r="H50" s="58"/>
      <c r="I50" s="57" t="s">
        <v>136</v>
      </c>
      <c r="J50" s="58"/>
      <c r="K50" s="58"/>
      <c r="L50" s="58"/>
    </row>
    <row r="51" spans="1:12" ht="26" customHeight="1">
      <c r="A51" s="57" t="s">
        <v>137</v>
      </c>
      <c r="B51" s="58"/>
      <c r="C51" s="58"/>
      <c r="D51" s="58"/>
      <c r="E51" s="58"/>
      <c r="F51" s="59" t="s">
        <v>138</v>
      </c>
      <c r="G51" s="58"/>
      <c r="H51" s="58"/>
      <c r="I51" s="57" t="s">
        <v>139</v>
      </c>
      <c r="J51" s="58"/>
      <c r="K51" s="58"/>
      <c r="L51" s="58"/>
    </row>
    <row r="52" spans="1:12" ht="26" customHeight="1">
      <c r="A52" s="57" t="s">
        <v>140</v>
      </c>
      <c r="B52" s="58"/>
      <c r="C52" s="58"/>
      <c r="D52" s="58"/>
      <c r="E52" s="58"/>
      <c r="F52" s="59" t="s">
        <v>141</v>
      </c>
      <c r="G52" s="58"/>
      <c r="H52" s="58"/>
      <c r="I52" s="57" t="s">
        <v>142</v>
      </c>
      <c r="J52" s="58"/>
      <c r="K52" s="58"/>
      <c r="L52" s="58"/>
    </row>
    <row r="53" spans="1:12" ht="26" customHeight="1">
      <c r="A53" s="57" t="s">
        <v>143</v>
      </c>
      <c r="B53" s="58"/>
      <c r="C53" s="58"/>
      <c r="D53" s="58"/>
      <c r="E53" s="58"/>
      <c r="F53" s="59" t="s">
        <v>144</v>
      </c>
      <c r="G53" s="58"/>
      <c r="H53" s="58"/>
      <c r="I53" s="57" t="s">
        <v>145</v>
      </c>
      <c r="J53" s="58"/>
      <c r="K53" s="58"/>
      <c r="L53" s="58"/>
    </row>
    <row r="54" spans="1:12" ht="26" customHeight="1">
      <c r="A54" s="57" t="s">
        <v>146</v>
      </c>
      <c r="B54" s="58"/>
      <c r="C54" s="58"/>
      <c r="D54" s="58"/>
      <c r="E54" s="58"/>
      <c r="F54" s="59" t="s">
        <v>147</v>
      </c>
      <c r="G54" s="58"/>
      <c r="H54" s="58"/>
      <c r="I54" s="57" t="s">
        <v>148</v>
      </c>
      <c r="J54" s="58"/>
      <c r="K54" s="58"/>
      <c r="L54" s="58"/>
    </row>
    <row r="56" spans="1:12">
      <c r="A56" s="45" t="s">
        <v>149</v>
      </c>
    </row>
  </sheetData>
  <mergeCells count="38">
    <mergeCell ref="I53:L53"/>
    <mergeCell ref="A52:E52"/>
    <mergeCell ref="A1:L1"/>
    <mergeCell ref="F51:H51"/>
    <mergeCell ref="A4:L4"/>
    <mergeCell ref="A50:E50"/>
    <mergeCell ref="A43:L43"/>
    <mergeCell ref="F49:H49"/>
    <mergeCell ref="I47:L47"/>
    <mergeCell ref="A47:E47"/>
    <mergeCell ref="A44:E44"/>
    <mergeCell ref="F44:H44"/>
    <mergeCell ref="A18:L18"/>
    <mergeCell ref="F47:H47"/>
    <mergeCell ref="I50:L50"/>
    <mergeCell ref="F46:H46"/>
    <mergeCell ref="A54:E54"/>
    <mergeCell ref="A33:L33"/>
    <mergeCell ref="I46:L46"/>
    <mergeCell ref="A46:E46"/>
    <mergeCell ref="F52:H52"/>
    <mergeCell ref="F48:H48"/>
    <mergeCell ref="I49:L49"/>
    <mergeCell ref="I45:L45"/>
    <mergeCell ref="I54:L54"/>
    <mergeCell ref="F53:H53"/>
    <mergeCell ref="A53:E53"/>
    <mergeCell ref="F54:H54"/>
    <mergeCell ref="I52:L52"/>
    <mergeCell ref="I48:L48"/>
    <mergeCell ref="A48:E48"/>
    <mergeCell ref="F45:H45"/>
    <mergeCell ref="I44:L44"/>
    <mergeCell ref="I51:L51"/>
    <mergeCell ref="A51:E51"/>
    <mergeCell ref="F50:H50"/>
    <mergeCell ref="A49:E49"/>
    <mergeCell ref="A45:E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>
      <selection activeCell="B15" sqref="B15"/>
    </sheetView>
  </sheetViews>
  <sheetFormatPr baseColWidth="10" defaultColWidth="8.83203125" defaultRowHeight="15"/>
  <cols>
    <col min="1" max="1" width="26" customWidth="1"/>
    <col min="2" max="2" width="40" customWidth="1"/>
    <col min="3" max="3" width="34" customWidth="1"/>
    <col min="4" max="4" width="12" customWidth="1"/>
    <col min="5" max="5" width="40" customWidth="1"/>
  </cols>
  <sheetData>
    <row r="1" spans="1:5" ht="18">
      <c r="A1" s="52" t="s">
        <v>182</v>
      </c>
      <c r="B1" s="46"/>
      <c r="C1" s="46"/>
      <c r="D1" s="46"/>
      <c r="E1" s="46"/>
    </row>
    <row r="2" spans="1:5">
      <c r="A2" s="50" t="s">
        <v>183</v>
      </c>
      <c r="B2" s="46"/>
      <c r="C2" s="46"/>
      <c r="D2" s="46"/>
      <c r="E2" s="46"/>
    </row>
    <row r="4" spans="1:5" ht="30" customHeight="1">
      <c r="A4" s="1" t="s">
        <v>184</v>
      </c>
      <c r="B4" s="1" t="s">
        <v>185</v>
      </c>
      <c r="C4" s="1" t="s">
        <v>186</v>
      </c>
      <c r="D4" s="1" t="s">
        <v>187</v>
      </c>
      <c r="E4" s="1" t="s">
        <v>188</v>
      </c>
    </row>
    <row r="5" spans="1:5" ht="42" customHeight="1">
      <c r="A5" s="25" t="s">
        <v>189</v>
      </c>
      <c r="B5" s="3" t="s">
        <v>190</v>
      </c>
      <c r="C5" s="3" t="s">
        <v>191</v>
      </c>
      <c r="D5" s="4" t="s">
        <v>192</v>
      </c>
      <c r="E5" s="3" t="s">
        <v>193</v>
      </c>
    </row>
    <row r="6" spans="1:5" ht="42" customHeight="1">
      <c r="A6" s="28" t="s">
        <v>194</v>
      </c>
      <c r="B6" s="10" t="s">
        <v>195</v>
      </c>
      <c r="C6" s="10" t="s">
        <v>196</v>
      </c>
      <c r="D6" s="11" t="s">
        <v>197</v>
      </c>
      <c r="E6" s="10" t="s">
        <v>198</v>
      </c>
    </row>
    <row r="7" spans="1:5" ht="42" customHeight="1">
      <c r="A7" s="25" t="s">
        <v>199</v>
      </c>
      <c r="B7" s="3" t="s">
        <v>200</v>
      </c>
      <c r="C7" s="3" t="s">
        <v>201</v>
      </c>
      <c r="D7" s="4" t="s">
        <v>202</v>
      </c>
      <c r="E7" s="3" t="s">
        <v>203</v>
      </c>
    </row>
    <row r="8" spans="1:5" ht="42" customHeight="1">
      <c r="A8" s="28" t="s">
        <v>204</v>
      </c>
      <c r="B8" s="10" t="s">
        <v>205</v>
      </c>
      <c r="C8" s="10" t="s">
        <v>206</v>
      </c>
      <c r="D8" s="11" t="s">
        <v>207</v>
      </c>
      <c r="E8" s="10" t="s">
        <v>208</v>
      </c>
    </row>
    <row r="9" spans="1:5" ht="42" customHeight="1">
      <c r="A9" s="25" t="s">
        <v>209</v>
      </c>
      <c r="B9" s="3" t="s">
        <v>210</v>
      </c>
      <c r="C9" s="3" t="s">
        <v>211</v>
      </c>
      <c r="D9" s="4" t="s">
        <v>212</v>
      </c>
      <c r="E9" s="3" t="s">
        <v>213</v>
      </c>
    </row>
    <row r="10" spans="1:5" ht="42" customHeight="1">
      <c r="A10" s="28" t="s">
        <v>214</v>
      </c>
      <c r="B10" s="10" t="s">
        <v>215</v>
      </c>
      <c r="C10" s="10" t="s">
        <v>216</v>
      </c>
      <c r="D10" s="11" t="s">
        <v>217</v>
      </c>
      <c r="E10" s="10" t="s">
        <v>218</v>
      </c>
    </row>
    <row r="11" spans="1:5" ht="42" customHeight="1">
      <c r="A11" s="25" t="s">
        <v>219</v>
      </c>
      <c r="B11" s="3" t="s">
        <v>220</v>
      </c>
      <c r="C11" s="3" t="s">
        <v>221</v>
      </c>
      <c r="D11" s="4" t="s">
        <v>222</v>
      </c>
      <c r="E11" s="3" t="s">
        <v>223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sqref="A1:E1"/>
    </sheetView>
  </sheetViews>
  <sheetFormatPr baseColWidth="10" defaultColWidth="8.83203125" defaultRowHeight="15"/>
  <cols>
    <col min="1" max="1" width="6" customWidth="1"/>
    <col min="2" max="2" width="58" customWidth="1"/>
    <col min="3" max="3" width="12" customWidth="1"/>
    <col min="4" max="4" width="14" customWidth="1"/>
    <col min="5" max="5" width="18" customWidth="1"/>
  </cols>
  <sheetData>
    <row r="1" spans="1:5" ht="18">
      <c r="A1" s="52" t="s">
        <v>150</v>
      </c>
      <c r="B1" s="46"/>
      <c r="C1" s="46"/>
      <c r="D1" s="46"/>
      <c r="E1" s="46"/>
    </row>
    <row r="2" spans="1:5" ht="28" customHeight="1">
      <c r="A2" s="64" t="s">
        <v>151</v>
      </c>
      <c r="B2" s="46"/>
      <c r="C2" s="46"/>
      <c r="D2" s="46"/>
      <c r="E2" s="46"/>
    </row>
    <row r="3" spans="1:5">
      <c r="A3" s="1" t="s">
        <v>24</v>
      </c>
      <c r="B3" s="1" t="s">
        <v>152</v>
      </c>
      <c r="C3" s="1" t="s">
        <v>153</v>
      </c>
      <c r="D3" s="1" t="s">
        <v>154</v>
      </c>
      <c r="E3" s="1" t="s">
        <v>155</v>
      </c>
    </row>
    <row r="4" spans="1:5">
      <c r="A4" s="17" t="s">
        <v>156</v>
      </c>
      <c r="B4" s="17" t="s">
        <v>157</v>
      </c>
      <c r="C4" s="23"/>
      <c r="D4" s="24">
        <v>730</v>
      </c>
      <c r="E4" s="5">
        <v>3175500</v>
      </c>
    </row>
    <row r="5" spans="1:5">
      <c r="A5" s="15"/>
      <c r="B5" s="3" t="s">
        <v>158</v>
      </c>
      <c r="C5" s="4" t="s">
        <v>159</v>
      </c>
      <c r="D5" s="18">
        <v>346</v>
      </c>
      <c r="E5" s="19">
        <v>1505100</v>
      </c>
    </row>
    <row r="6" spans="1:5">
      <c r="A6" s="15"/>
      <c r="B6" s="3" t="s">
        <v>160</v>
      </c>
      <c r="C6" s="4" t="s">
        <v>159</v>
      </c>
      <c r="D6" s="18">
        <v>384</v>
      </c>
      <c r="E6" s="19">
        <v>1670400</v>
      </c>
    </row>
    <row r="7" spans="1:5">
      <c r="A7" s="17" t="s">
        <v>161</v>
      </c>
      <c r="B7" s="17" t="s">
        <v>162</v>
      </c>
      <c r="C7" s="23"/>
      <c r="D7" s="24">
        <v>1085</v>
      </c>
      <c r="E7" s="5">
        <v>4719750</v>
      </c>
    </row>
    <row r="8" spans="1:5">
      <c r="A8" s="15"/>
      <c r="B8" s="3" t="s">
        <v>158</v>
      </c>
      <c r="C8" s="4" t="s">
        <v>159</v>
      </c>
      <c r="D8" s="18">
        <v>630</v>
      </c>
      <c r="E8" s="19">
        <v>2740500</v>
      </c>
    </row>
    <row r="9" spans="1:5">
      <c r="A9" s="15"/>
      <c r="B9" s="3" t="s">
        <v>160</v>
      </c>
      <c r="C9" s="4" t="s">
        <v>159</v>
      </c>
      <c r="D9" s="18">
        <v>455</v>
      </c>
      <c r="E9" s="19">
        <v>1979250</v>
      </c>
    </row>
    <row r="10" spans="1:5">
      <c r="A10" s="17" t="s">
        <v>163</v>
      </c>
      <c r="B10" s="17" t="s">
        <v>164</v>
      </c>
      <c r="C10" s="23"/>
      <c r="D10" s="24">
        <v>345</v>
      </c>
      <c r="E10" s="5">
        <v>1500750</v>
      </c>
    </row>
    <row r="11" spans="1:5">
      <c r="A11" s="15"/>
      <c r="B11" s="3" t="s">
        <v>158</v>
      </c>
      <c r="C11" s="4" t="s">
        <v>159</v>
      </c>
      <c r="D11" s="18">
        <v>130</v>
      </c>
      <c r="E11" s="19">
        <v>565500</v>
      </c>
    </row>
    <row r="12" spans="1:5">
      <c r="A12" s="15"/>
      <c r="B12" s="3" t="s">
        <v>160</v>
      </c>
      <c r="C12" s="4" t="s">
        <v>159</v>
      </c>
      <c r="D12" s="18">
        <v>215</v>
      </c>
      <c r="E12" s="19">
        <v>935250</v>
      </c>
    </row>
    <row r="13" spans="1:5">
      <c r="A13" s="20"/>
      <c r="B13" s="21" t="s">
        <v>165</v>
      </c>
      <c r="C13" s="20"/>
      <c r="D13" s="22">
        <v>2160</v>
      </c>
      <c r="E13" s="13">
        <v>9396000</v>
      </c>
    </row>
    <row r="14" spans="1:5">
      <c r="A14" s="15"/>
      <c r="B14" s="26" t="s">
        <v>166</v>
      </c>
      <c r="C14" s="15"/>
      <c r="D14" s="15"/>
      <c r="E14" s="19">
        <v>1566000</v>
      </c>
    </row>
    <row r="16" spans="1:5">
      <c r="B16" s="14" t="s">
        <v>167</v>
      </c>
    </row>
    <row r="17" spans="2:2">
      <c r="B17" s="14" t="s">
        <v>168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Roadmap</vt:lpstr>
      <vt:lpstr>Трудоёмкость (детально)</vt:lpstr>
      <vt:lpstr>Агенты</vt:lpstr>
      <vt:lpstr>Стоимость проекта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lena_koryakova@mail.ru</cp:lastModifiedBy>
  <dcterms:created xsi:type="dcterms:W3CDTF">2026-06-18T11:24:41Z</dcterms:created>
  <dcterms:modified xsi:type="dcterms:W3CDTF">2026-06-18T12:02:37Z</dcterms:modified>
</cp:coreProperties>
</file>