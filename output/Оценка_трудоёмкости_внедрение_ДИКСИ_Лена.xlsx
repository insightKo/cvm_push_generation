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6840" tabRatio="600" firstSheet="0" activeTab="2" autoFilterDateGrouping="1"/>
  </bookViews>
  <sheets>
    <sheet xmlns:r="http://schemas.openxmlformats.org/officeDocument/2006/relationships" name="Roadmap" sheetId="1" state="visible" r:id="rId1"/>
    <sheet xmlns:r="http://schemas.openxmlformats.org/officeDocument/2006/relationships" name="Трудоёмкость (детально)" sheetId="2" state="visible" r:id="rId2"/>
    <sheet xmlns:r="http://schemas.openxmlformats.org/officeDocument/2006/relationships" name="Агенты" sheetId="3" state="visible" r:id="rId3"/>
    <sheet xmlns:r="http://schemas.openxmlformats.org/officeDocument/2006/relationships" name="Стоимость проекта" sheetId="4" state="visible" r:id="rId4"/>
  </sheets>
  <definedNames>
    <definedName name="_xlnm.Print_Area" localSheetId="0">'Roadmap'!$A$1:$M$19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#\ ##0\ \₽"/>
    <numFmt numFmtId="165" formatCode="#\ ##0"/>
    <numFmt numFmtId="166" formatCode="_-* #,##0_-;\-* #,##0_-;_-* &quot;-&quot;??_-;_-@_-"/>
    <numFmt numFmtId="167" formatCode="# ##0 ₽"/>
    <numFmt numFmtId="168" formatCode="# ##0"/>
    <numFmt numFmtId="169" formatCode="# ##0\ &quot;%&quot;"/>
    <numFmt numFmtId="170" formatCode="# ##0.0\ &quot;млн ₽&quot;"/>
    <numFmt numFmtId="171" formatCode="# ##0\ &quot;₽&quot;"/>
    <numFmt numFmtId="172" formatCode="0.00\ &quot;%&quot;"/>
    <numFmt numFmtId="173" formatCode="#,##0&quot; %&quot;"/>
    <numFmt numFmtId="174" formatCode="#,##0.0,,&quot; млн ₽&quot;"/>
    <numFmt numFmtId="175" formatCode="#,##0&quot; ₽&quot;"/>
    <numFmt numFmtId="176" formatCode="0.00&quot; %&quot;"/>
    <numFmt numFmtId="177" formatCode="#,##0,,"/>
  </numFmts>
  <fonts count="36">
    <font>
      <name val="Calibri"/>
      <family val="2"/>
      <color theme="1"/>
      <sz val="11"/>
      <scheme val="minor"/>
    </font>
    <font>
      <name val="Inter"/>
      <color rgb="FF666666"/>
      <sz val="9"/>
    </font>
    <font>
      <name val="Inter"/>
      <b val="1"/>
      <color rgb="FFFFFFFF"/>
      <sz val="10"/>
    </font>
    <font>
      <name val="Inter"/>
      <b val="1"/>
      <sz val="10"/>
    </font>
    <font>
      <name val="Inter"/>
      <sz val="10"/>
    </font>
    <font>
      <name val="Inter"/>
      <b val="1"/>
      <color rgb="FF3A2A6B"/>
      <sz val="14"/>
    </font>
    <font>
      <name val="Inter"/>
      <b val="1"/>
      <color rgb="FFF47A20"/>
      <sz val="11"/>
    </font>
    <font>
      <name val="Inter"/>
      <b val="1"/>
      <color rgb="FFC0392B"/>
      <sz val="9"/>
    </font>
    <font>
      <name val="Inter"/>
      <b val="1"/>
      <color rgb="FFFFFFFF"/>
      <sz val="11"/>
    </font>
    <font>
      <name val="Inter"/>
      <b val="1"/>
      <color rgb="FF3A2A6B"/>
      <sz val="12"/>
    </font>
    <font>
      <name val="Inter"/>
      <b val="1"/>
      <color rgb="FF999999"/>
      <sz val="20"/>
    </font>
    <font>
      <name val="Inter"/>
      <b val="1"/>
      <color rgb="FF3A2A6B"/>
      <sz val="16"/>
    </font>
    <font>
      <name val="Inter"/>
      <b val="1"/>
      <color rgb="FFFFFFFF"/>
      <sz val="12"/>
    </font>
    <font>
      <name val="Inter"/>
      <b val="1"/>
      <sz val="11"/>
    </font>
    <font>
      <name val="Inter"/>
      <sz val="11"/>
    </font>
    <font>
      <name val="Inter"/>
      <b val="1"/>
      <color rgb="FFA0521A"/>
      <sz val="10"/>
    </font>
    <font>
      <name val="Inter"/>
      <b val="1"/>
      <color rgb="FF2E7D32"/>
      <sz val="10"/>
    </font>
    <font>
      <name val="Inter"/>
      <b val="1"/>
      <color rgb="FFF47A20"/>
      <sz val="12"/>
    </font>
    <font>
      <name val="Inter"/>
      <color rgb="FF666666"/>
      <sz val="10"/>
    </font>
    <font>
      <name val="Calibri"/>
      <family val="2"/>
      <color theme="1"/>
      <sz val="11"/>
      <scheme val="minor"/>
    </font>
    <font>
      <name val="Inter"/>
      <b val="1"/>
      <color rgb="003A2A6B"/>
      <sz val="16"/>
    </font>
    <font>
      <name val="Inter"/>
      <b val="1"/>
      <color rgb="00FFFFFF"/>
      <sz val="11"/>
    </font>
    <font>
      <name val="Inter"/>
      <b val="1"/>
      <color rgb="00FFFFFF"/>
      <sz val="12"/>
    </font>
    <font>
      <name val="Inter"/>
      <b val="1"/>
      <color rgb="00F47A20"/>
      <sz val="12"/>
    </font>
    <font>
      <name val="Inter"/>
      <b val="1"/>
      <color rgb="00F47A20"/>
      <sz val="11"/>
    </font>
    <font>
      <name val="Inter"/>
      <color rgb="00666666"/>
      <sz val="10"/>
    </font>
    <font>
      <name val="Inter"/>
      <b val="1"/>
      <color rgb="00FFFFFF"/>
      <sz val="16"/>
    </font>
    <font>
      <name val="Inter"/>
      <b val="1"/>
      <color rgb="003A2A6B"/>
      <sz val="12"/>
    </font>
    <font>
      <name val="Inter"/>
      <b val="1"/>
      <color rgb="00999999"/>
      <sz val="20"/>
    </font>
    <font>
      <name val="Inter"/>
      <b val="1"/>
      <color rgb="00FFFFFF"/>
      <sz val="17"/>
    </font>
    <font>
      <name val="Inter"/>
      <b val="1"/>
      <color rgb="002B2B2B"/>
      <sz val="12"/>
    </font>
    <font>
      <name val="Inter"/>
      <b val="1"/>
      <color rgb="00C9C2DE"/>
      <sz val="22"/>
    </font>
    <font>
      <name val="Inter"/>
      <b val="1"/>
      <color rgb="001B5E20"/>
      <sz val="11"/>
    </font>
    <font>
      <name val="Inter"/>
      <color rgb="00333333"/>
      <sz val="11"/>
    </font>
    <font>
      <name val="Inter"/>
      <b val="1"/>
      <color rgb="00F47A20"/>
      <sz val="13"/>
    </font>
    <font>
      <name val="Inter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rgb="FF6B4FBB"/>
      </patternFill>
    </fill>
    <fill>
      <patternFill patternType="solid">
        <fgColor rgb="FFEFEAF8"/>
      </patternFill>
    </fill>
    <fill>
      <patternFill patternType="solid">
        <fgColor rgb="FFFDE8D6"/>
      </patternFill>
    </fill>
    <fill>
      <patternFill patternType="solid">
        <fgColor rgb="FFE3F2E1"/>
      </patternFill>
    </fill>
    <fill>
      <patternFill patternType="solid">
        <fgColor rgb="FFFAF8FF"/>
      </patternFill>
    </fill>
    <fill>
      <patternFill patternType="solid">
        <fgColor rgb="FFF4F4F4"/>
      </patternFill>
    </fill>
    <fill>
      <patternFill patternType="solid">
        <fgColor rgb="FFE6F0FB"/>
      </patternFill>
    </fill>
    <fill>
      <patternFill patternType="solid">
        <fgColor rgb="FFF47A20"/>
      </patternFill>
    </fill>
    <fill>
      <patternFill patternType="solid">
        <fgColor rgb="FFF7F5FC"/>
      </patternFill>
    </fill>
    <fill>
      <patternFill patternType="solid">
        <fgColor rgb="FF3FAE5F"/>
      </patternFill>
    </fill>
    <fill>
      <patternFill patternType="solid">
        <fgColor rgb="FF4A3A8C"/>
      </patternFill>
    </fill>
    <fill>
      <patternFill patternType="solid">
        <fgColor rgb="FFEEEEEE"/>
      </patternFill>
    </fill>
    <fill>
      <patternFill patternType="solid">
        <fgColor rgb="006B4FBB"/>
      </patternFill>
    </fill>
    <fill>
      <patternFill patternType="solid">
        <fgColor rgb="004A3A8C"/>
      </patternFill>
    </fill>
    <fill>
      <patternFill patternType="solid">
        <fgColor rgb="00FDE8D6"/>
      </patternFill>
    </fill>
    <fill>
      <patternFill patternType="solid">
        <fgColor rgb="00E3F2E1"/>
      </patternFill>
    </fill>
    <fill>
      <patternFill patternType="solid">
        <fgColor rgb="00EEEEEE"/>
      </patternFill>
    </fill>
    <fill>
      <patternFill patternType="solid">
        <fgColor rgb="00F47A20"/>
      </patternFill>
    </fill>
    <fill>
      <patternFill patternType="solid">
        <fgColor rgb="00EFEAF8"/>
      </patternFill>
    </fill>
    <fill>
      <patternFill patternType="solid">
        <fgColor rgb="00F7F5FC"/>
      </patternFill>
    </fill>
    <fill>
      <patternFill patternType="solid">
        <fgColor rgb="003FAE5F"/>
      </patternFill>
    </fill>
    <fill>
      <patternFill patternType="solid">
        <fgColor rgb="00FDEBDC"/>
      </patternFill>
    </fill>
    <fill>
      <patternFill patternType="solid">
        <fgColor rgb="00FBFAFE"/>
      </patternFill>
    </fill>
    <fill>
      <patternFill patternType="solid">
        <fgColor rgb="00E3F4E6"/>
      </patternFill>
    </fill>
    <fill>
      <patternFill patternType="solid">
        <fgColor rgb="00EFEFEF"/>
      </patternFill>
    </fill>
  </fills>
  <borders count="21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/>
      <diagonal/>
    </border>
    <border>
      <left/>
      <right/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/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2">
    <xf numFmtId="0" fontId="19" fillId="0" borderId="0"/>
    <xf numFmtId="43" fontId="19" fillId="0" borderId="0"/>
  </cellStyleXfs>
  <cellXfs count="15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4" fontId="3" fillId="7" borderId="1" applyAlignment="1" pivotButton="0" quotePrefix="0" xfId="0">
      <alignment horizontal="right" vertical="center"/>
    </xf>
    <xf numFmtId="0" fontId="1" fillId="0" borderId="0" pivotButton="0" quotePrefix="0" xfId="0"/>
    <xf numFmtId="0" fontId="0" fillId="0" borderId="1" pivotButton="0" quotePrefix="0" xfId="0"/>
    <xf numFmtId="0" fontId="10" fillId="0" borderId="0" applyAlignment="1" pivotButton="0" quotePrefix="0" xfId="0">
      <alignment horizontal="center" vertical="center"/>
    </xf>
    <xf numFmtId="0" fontId="3" fillId="3" borderId="1" pivotButton="0" quotePrefix="0" xfId="0"/>
    <xf numFmtId="165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0" fillId="7" borderId="1" pivotButton="0" quotePrefix="0" xfId="0"/>
    <xf numFmtId="0" fontId="3" fillId="7" borderId="1" pivotButton="0" quotePrefix="0" xfId="0"/>
    <xf numFmtId="165" fontId="3" fillId="7" borderId="1" applyAlignment="1" pivotButton="0" quotePrefix="0" xfId="0">
      <alignment horizontal="right" vertical="center"/>
    </xf>
    <xf numFmtId="0" fontId="0" fillId="3" borderId="1" pivotButton="0" quotePrefix="0" xfId="0"/>
    <xf numFmtId="165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0" fontId="4" fillId="0" borderId="1" pivotButton="0" quotePrefix="0" xfId="0"/>
    <xf numFmtId="0" fontId="3" fillId="0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 wrapText="1"/>
    </xf>
    <xf numFmtId="0" fontId="8" fillId="2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13" fillId="0" borderId="4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left" vertical="center" wrapText="1"/>
    </xf>
    <xf numFmtId="0" fontId="15" fillId="4" borderId="4" applyAlignment="1" pivotButton="0" quotePrefix="0" xfId="0">
      <alignment horizontal="center" vertical="center" wrapText="1"/>
    </xf>
    <xf numFmtId="165" fontId="14" fillId="0" borderId="4" applyAlignment="1" pivotButton="0" quotePrefix="0" xfId="0">
      <alignment horizontal="center" vertical="center" wrapText="1"/>
    </xf>
    <xf numFmtId="165" fontId="13" fillId="0" borderId="4" applyAlignment="1" pivotButton="0" quotePrefix="0" xfId="0">
      <alignment horizontal="right" vertical="center"/>
    </xf>
    <xf numFmtId="0" fontId="16" fillId="5" borderId="4" applyAlignment="1" pivotButton="0" quotePrefix="0" xfId="0">
      <alignment horizontal="center" vertical="center" wrapText="1"/>
    </xf>
    <xf numFmtId="0" fontId="0" fillId="13" borderId="4" pivotButton="0" quotePrefix="0" xfId="0"/>
    <xf numFmtId="0" fontId="13" fillId="13" borderId="4" pivotButton="0" quotePrefix="0" xfId="0"/>
    <xf numFmtId="165" fontId="13" fillId="13" borderId="4" applyAlignment="1" pivotButton="0" quotePrefix="0" xfId="0">
      <alignment horizontal="center" vertical="center" wrapText="1"/>
    </xf>
    <xf numFmtId="165" fontId="17" fillId="13" borderId="4" applyAlignment="1" pivotButton="0" quotePrefix="0" xfId="0">
      <alignment horizontal="right" vertical="center"/>
    </xf>
    <xf numFmtId="0" fontId="13" fillId="0" borderId="4" pivotButton="0" quotePrefix="0" xfId="0"/>
    <xf numFmtId="164" fontId="13" fillId="13" borderId="4" applyAlignment="1" pivotButton="0" quotePrefix="0" xfId="0">
      <alignment horizontal="right" vertical="center"/>
    </xf>
    <xf numFmtId="164" fontId="6" fillId="13" borderId="4" applyAlignment="1" pivotButton="0" quotePrefix="0" xfId="0">
      <alignment horizontal="right" vertical="center"/>
    </xf>
    <xf numFmtId="0" fontId="18" fillId="0" borderId="0" pivotButton="0" quotePrefix="0" xfId="0"/>
    <xf numFmtId="0" fontId="0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1" fillId="0" borderId="0" pivotButton="0" quotePrefix="0" xfId="0"/>
    <xf numFmtId="0" fontId="4" fillId="10" borderId="1" applyAlignment="1" pivotButton="0" quotePrefix="0" xfId="0">
      <alignment horizontal="left" vertical="top" wrapText="1"/>
    </xf>
    <xf numFmtId="0" fontId="5" fillId="0" borderId="0" pivotButton="0" quotePrefix="0" xfId="0"/>
    <xf numFmtId="0" fontId="8" fillId="9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 wrapText="1"/>
    </xf>
    <xf numFmtId="0" fontId="0" fillId="0" borderId="4" pivotButton="0" quotePrefix="0" xfId="0"/>
    <xf numFmtId="0" fontId="13" fillId="0" borderId="4" applyAlignment="1" pivotButton="0" quotePrefix="0" xfId="0">
      <alignment horizontal="left" vertical="center" wrapText="1"/>
    </xf>
    <xf numFmtId="0" fontId="8" fillId="2" borderId="4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12" fillId="12" borderId="4" applyAlignment="1" pivotButton="0" quotePrefix="0" xfId="0">
      <alignment horizontal="left" vertical="center" wrapText="1"/>
    </xf>
    <xf numFmtId="0" fontId="11" fillId="0" borderId="0" pivotButton="0" quotePrefix="0" xfId="0"/>
    <xf numFmtId="0" fontId="7" fillId="4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8" borderId="1" pivotButton="0" quotePrefix="0" xfId="0"/>
    <xf numFmtId="166" fontId="3" fillId="0" borderId="1" applyAlignment="1" pivotButton="0" quotePrefix="0" xfId="1">
      <alignment horizontal="right" vertical="center"/>
    </xf>
    <xf numFmtId="0" fontId="26" fillId="14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left" vertical="center" indent="1"/>
    </xf>
    <xf numFmtId="0" fontId="21" fillId="19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21" fillId="14" borderId="11" applyAlignment="1" pivotButton="0" quotePrefix="0" xfId="0">
      <alignment horizontal="center" vertical="center" wrapText="1"/>
    </xf>
    <xf numFmtId="0" fontId="21" fillId="22" borderId="11" applyAlignment="1" pivotButton="0" quotePrefix="0" xfId="0">
      <alignment horizontal="center" vertical="center" wrapText="1"/>
    </xf>
    <xf numFmtId="0" fontId="27" fillId="20" borderId="11" applyAlignment="1" pivotButton="0" quotePrefix="0" xfId="0">
      <alignment horizontal="center" vertical="center" wrapText="1"/>
    </xf>
    <xf numFmtId="0" fontId="14" fillId="21" borderId="11" applyAlignment="1" pivotButton="0" quotePrefix="0" xfId="0">
      <alignment horizontal="left" vertical="top" wrapText="1"/>
    </xf>
    <xf numFmtId="0" fontId="28" fillId="0" borderId="0" applyAlignment="1" pivotButton="0" quotePrefix="0" xfId="0">
      <alignment horizontal="center" vertical="center"/>
    </xf>
    <xf numFmtId="0" fontId="13" fillId="17" borderId="11" applyAlignment="1" pivotButton="0" quotePrefix="0" xfId="0">
      <alignment horizontal="left" vertical="center" wrapText="1"/>
    </xf>
    <xf numFmtId="0" fontId="14" fillId="0" borderId="11" applyAlignment="1" pivotButton="0" quotePrefix="0" xfId="0">
      <alignment horizontal="left" vertical="center" wrapText="1"/>
    </xf>
    <xf numFmtId="0" fontId="13" fillId="0" borderId="11" applyAlignment="1" pivotButton="0" quotePrefix="0" xfId="0">
      <alignment horizontal="right" vertical="center"/>
    </xf>
    <xf numFmtId="0" fontId="13" fillId="18" borderId="11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167" fontId="14" fillId="0" borderId="11" applyAlignment="1" pivotButton="0" quotePrefix="0" xfId="0">
      <alignment horizontal="right" vertical="center"/>
    </xf>
    <xf numFmtId="0" fontId="14" fillId="18" borderId="11" applyAlignment="1" pivotButton="0" quotePrefix="0" xfId="0">
      <alignment horizontal="center" vertical="center" wrapText="1"/>
    </xf>
    <xf numFmtId="167" fontId="13" fillId="18" borderId="11" applyAlignment="1" pivotButton="0" quotePrefix="0" xfId="0">
      <alignment horizontal="right" vertical="center"/>
    </xf>
    <xf numFmtId="0" fontId="20" fillId="0" borderId="0" pivotButton="0" quotePrefix="0" xfId="0"/>
    <xf numFmtId="0" fontId="22" fillId="15" borderId="11" applyAlignment="1" pivotButton="0" quotePrefix="0" xfId="0">
      <alignment horizontal="left" vertical="center" wrapText="1"/>
    </xf>
    <xf numFmtId="0" fontId="13" fillId="0" borderId="11" applyAlignment="1" pivotButton="0" quotePrefix="0" xfId="0">
      <alignment horizontal="center" vertical="center" wrapText="1"/>
    </xf>
    <xf numFmtId="0" fontId="13" fillId="16" borderId="11" applyAlignment="1" pivotButton="0" quotePrefix="0" xfId="0">
      <alignment horizontal="center" vertical="center" wrapText="1"/>
    </xf>
    <xf numFmtId="168" fontId="14" fillId="0" borderId="11" applyAlignment="1" pivotButton="0" quotePrefix="0" xfId="0">
      <alignment horizontal="center" vertical="center" wrapText="1"/>
    </xf>
    <xf numFmtId="168" fontId="13" fillId="0" borderId="11" applyAlignment="1" pivotButton="0" quotePrefix="0" xfId="0">
      <alignment horizontal="right" vertical="center"/>
    </xf>
    <xf numFmtId="0" fontId="13" fillId="17" borderId="11" applyAlignment="1" pivotButton="0" quotePrefix="0" xfId="0">
      <alignment horizontal="center" vertical="center" wrapText="1"/>
    </xf>
    <xf numFmtId="0" fontId="0" fillId="18" borderId="11" pivotButton="0" quotePrefix="0" xfId="0"/>
    <xf numFmtId="0" fontId="13" fillId="18" borderId="11" pivotButton="0" quotePrefix="0" xfId="0"/>
    <xf numFmtId="168" fontId="13" fillId="18" borderId="11" applyAlignment="1" pivotButton="0" quotePrefix="0" xfId="0">
      <alignment horizontal="center" vertical="center" wrapText="1"/>
    </xf>
    <xf numFmtId="168" fontId="23" fillId="18" borderId="11" applyAlignment="1" pivotButton="0" quotePrefix="0" xfId="0">
      <alignment horizontal="right" vertical="center"/>
    </xf>
    <xf numFmtId="0" fontId="13" fillId="0" borderId="11" pivotButton="0" quotePrefix="0" xfId="0"/>
    <xf numFmtId="167" fontId="24" fillId="18" borderId="11" applyAlignment="1" pivotButton="0" quotePrefix="0" xfId="0">
      <alignment horizontal="right" vertical="center"/>
    </xf>
    <xf numFmtId="0" fontId="0" fillId="14" borderId="11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left" vertical="center" wrapText="1"/>
    </xf>
    <xf numFmtId="0" fontId="25" fillId="0" borderId="0" pivotButton="0" quotePrefix="0" xfId="0"/>
    <xf numFmtId="168" fontId="3" fillId="3" borderId="1" applyAlignment="1" pivotButton="0" quotePrefix="0" xfId="0">
      <alignment horizontal="right" vertical="center"/>
    </xf>
    <xf numFmtId="167" fontId="3" fillId="3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68" fontId="3" fillId="7" borderId="1" applyAlignment="1" pivotButton="0" quotePrefix="0" xfId="0">
      <alignment horizontal="right" vertical="center"/>
    </xf>
    <xf numFmtId="167" fontId="3" fillId="7" borderId="1" applyAlignment="1" pivotButton="0" quotePrefix="0" xfId="0">
      <alignment horizontal="right" vertical="center"/>
    </xf>
    <xf numFmtId="0" fontId="29" fillId="14" borderId="0" applyAlignment="1" pivotButton="0" quotePrefix="0" xfId="0">
      <alignment horizontal="left" vertical="center" indent="1"/>
    </xf>
    <xf numFmtId="0" fontId="21" fillId="19" borderId="16" applyAlignment="1" pivotButton="0" quotePrefix="0" xfId="0">
      <alignment horizontal="center" vertical="center" wrapText="1"/>
    </xf>
    <xf numFmtId="0" fontId="0" fillId="0" borderId="16" pivotButton="0" quotePrefix="0" xfId="0"/>
    <xf numFmtId="0" fontId="21" fillId="14" borderId="16" applyAlignment="1" pivotButton="0" quotePrefix="0" xfId="0">
      <alignment horizontal="center" vertical="center" wrapText="1"/>
    </xf>
    <xf numFmtId="0" fontId="21" fillId="22" borderId="16" applyAlignment="1" pivotButton="0" quotePrefix="0" xfId="0">
      <alignment horizontal="center" vertical="center" wrapText="1"/>
    </xf>
    <xf numFmtId="0" fontId="30" fillId="23" borderId="16" applyAlignment="1" pivotButton="0" quotePrefix="0" xfId="0">
      <alignment horizontal="center" vertical="center" wrapText="1"/>
    </xf>
    <xf numFmtId="0" fontId="30" fillId="20" borderId="16" applyAlignment="1" pivotButton="0" quotePrefix="0" xfId="0">
      <alignment horizontal="center" vertical="center" wrapText="1"/>
    </xf>
    <xf numFmtId="0" fontId="30" fillId="25" borderId="16" applyAlignment="1" pivotButton="0" quotePrefix="0" xfId="0">
      <alignment horizontal="center" vertical="center" wrapText="1"/>
    </xf>
    <xf numFmtId="0" fontId="4" fillId="24" borderId="16" applyAlignment="1" pivotButton="0" quotePrefix="0" xfId="0">
      <alignment horizontal="left" vertical="top" wrapText="1"/>
    </xf>
    <xf numFmtId="0" fontId="31" fillId="0" borderId="0" applyAlignment="1" pivotButton="0" quotePrefix="0" xfId="0">
      <alignment horizontal="center" vertical="center"/>
    </xf>
    <xf numFmtId="0" fontId="32" fillId="17" borderId="16" applyAlignment="1" pivotButton="0" quotePrefix="0" xfId="0">
      <alignment horizontal="left" vertical="center" wrapText="1"/>
    </xf>
    <xf numFmtId="0" fontId="33" fillId="0" borderId="16" applyAlignment="1" pivotButton="0" quotePrefix="0" xfId="0">
      <alignment horizontal="left" vertical="center" wrapText="1"/>
    </xf>
    <xf numFmtId="169" fontId="34" fillId="0" borderId="16" applyAlignment="1" pivotButton="0" quotePrefix="0" xfId="0">
      <alignment horizontal="right" vertical="center"/>
    </xf>
    <xf numFmtId="0" fontId="35" fillId="26" borderId="16" applyAlignment="1" pivotButton="0" quotePrefix="0" xfId="0">
      <alignment horizontal="center" vertical="center" wrapText="1"/>
    </xf>
    <xf numFmtId="0" fontId="33" fillId="21" borderId="16" applyAlignment="1" pivotButton="0" quotePrefix="0" xfId="0">
      <alignment horizontal="left" vertical="center" wrapText="1"/>
    </xf>
    <xf numFmtId="0" fontId="0" fillId="21" borderId="16" pivotButton="0" quotePrefix="0" xfId="0"/>
    <xf numFmtId="170" fontId="30" fillId="21" borderId="16" applyAlignment="1" pivotButton="0" quotePrefix="0" xfId="0">
      <alignment horizontal="right" vertical="center"/>
    </xf>
    <xf numFmtId="0" fontId="14" fillId="0" borderId="16" applyAlignment="1" pivotButton="0" quotePrefix="0" xfId="0">
      <alignment horizontal="center" vertical="center" wrapText="1"/>
    </xf>
    <xf numFmtId="168" fontId="14" fillId="0" borderId="16" applyAlignment="1" pivotButton="0" quotePrefix="0" xfId="0">
      <alignment horizontal="right" vertical="center"/>
    </xf>
    <xf numFmtId="170" fontId="30" fillId="0" borderId="16" applyAlignment="1" pivotButton="0" quotePrefix="0" xfId="0">
      <alignment horizontal="right" vertical="center"/>
    </xf>
    <xf numFmtId="0" fontId="14" fillId="21" borderId="16" applyAlignment="1" pivotButton="0" quotePrefix="0" xfId="0">
      <alignment horizontal="center" vertical="center" wrapText="1"/>
    </xf>
    <xf numFmtId="168" fontId="14" fillId="21" borderId="16" applyAlignment="1" pivotButton="0" quotePrefix="0" xfId="0">
      <alignment horizontal="right" vertical="center"/>
    </xf>
    <xf numFmtId="171" fontId="30" fillId="0" borderId="16" applyAlignment="1" pivotButton="0" quotePrefix="0" xfId="0">
      <alignment horizontal="right" vertical="center"/>
    </xf>
    <xf numFmtId="172" fontId="30" fillId="21" borderId="16" applyAlignment="1" pivotButton="0" quotePrefix="0" xfId="0">
      <alignment horizontal="right" vertical="center"/>
    </xf>
    <xf numFmtId="0" fontId="34" fillId="0" borderId="16" applyAlignment="1" pivotButton="0" quotePrefix="0" xfId="0">
      <alignment horizontal="right" vertical="center"/>
    </xf>
    <xf numFmtId="0" fontId="13" fillId="26" borderId="16" applyAlignment="1" pivotButton="0" quotePrefix="0" xfId="0">
      <alignment horizontal="center" vertical="center" wrapText="1"/>
    </xf>
    <xf numFmtId="168" fontId="13" fillId="26" borderId="16" applyAlignment="1" pivotButton="0" quotePrefix="0" xfId="0">
      <alignment horizontal="right" vertical="center"/>
    </xf>
    <xf numFmtId="0" fontId="0" fillId="0" borderId="14" pivotButton="0" quotePrefix="0" xfId="0"/>
    <xf numFmtId="0" fontId="0" fillId="0" borderId="15" pivotButton="0" quotePrefix="0" xfId="0"/>
    <xf numFmtId="168" fontId="14" fillId="0" borderId="11" applyAlignment="1" pivotButton="0" quotePrefix="0" xfId="0">
      <alignment horizontal="center" vertical="center" wrapText="1"/>
    </xf>
    <xf numFmtId="168" fontId="13" fillId="0" borderId="11" applyAlignment="1" pivotButton="0" quotePrefix="0" xfId="0">
      <alignment horizontal="right" vertical="center"/>
    </xf>
    <xf numFmtId="168" fontId="13" fillId="18" borderId="11" applyAlignment="1" pivotButton="0" quotePrefix="0" xfId="0">
      <alignment horizontal="center" vertical="center" wrapText="1"/>
    </xf>
    <xf numFmtId="168" fontId="23" fillId="18" borderId="11" applyAlignment="1" pivotButton="0" quotePrefix="0" xfId="0">
      <alignment horizontal="right" vertical="center"/>
    </xf>
    <xf numFmtId="167" fontId="13" fillId="18" borderId="11" applyAlignment="1" pivotButton="0" quotePrefix="0" xfId="0">
      <alignment horizontal="right" vertical="center"/>
    </xf>
    <xf numFmtId="167" fontId="24" fillId="18" borderId="11" applyAlignment="1" pivotButton="0" quotePrefix="0" xfId="0">
      <alignment horizontal="right" vertical="center"/>
    </xf>
    <xf numFmtId="168" fontId="3" fillId="3" borderId="1" applyAlignment="1" pivotButton="0" quotePrefix="0" xfId="0">
      <alignment horizontal="right" vertical="center"/>
    </xf>
    <xf numFmtId="167" fontId="3" fillId="3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68" fontId="3" fillId="7" borderId="1" applyAlignment="1" pivotButton="0" quotePrefix="0" xfId="0">
      <alignment horizontal="right" vertical="center"/>
    </xf>
    <xf numFmtId="167" fontId="3" fillId="7" borderId="1" applyAlignment="1" pivotButton="0" quotePrefix="0" xfId="0">
      <alignment horizontal="right" vertical="center"/>
    </xf>
    <xf numFmtId="173" fontId="34" fillId="0" borderId="16" applyAlignment="1" pivotButton="0" quotePrefix="0" xfId="0">
      <alignment horizontal="right" vertical="center"/>
    </xf>
    <xf numFmtId="174" fontId="30" fillId="21" borderId="16" applyAlignment="1" pivotButton="0" quotePrefix="0" xfId="0">
      <alignment horizontal="right" vertical="center"/>
    </xf>
    <xf numFmtId="177" fontId="14" fillId="0" borderId="16" applyAlignment="1" pivotButton="0" quotePrefix="0" xfId="0">
      <alignment horizontal="right" vertical="center"/>
    </xf>
    <xf numFmtId="174" fontId="30" fillId="0" borderId="16" applyAlignment="1" pivotButton="0" quotePrefix="0" xfId="0">
      <alignment horizontal="right" vertical="center"/>
    </xf>
    <xf numFmtId="177" fontId="14" fillId="21" borderId="16" applyAlignment="1" pivotButton="0" quotePrefix="0" xfId="0">
      <alignment horizontal="right" vertical="center"/>
    </xf>
    <xf numFmtId="175" fontId="30" fillId="0" borderId="16" applyAlignment="1" pivotButton="0" quotePrefix="0" xfId="0">
      <alignment horizontal="right" vertical="center"/>
    </xf>
    <xf numFmtId="176" fontId="30" fillId="21" borderId="16" applyAlignment="1" pivotButton="0" quotePrefix="0" xfId="0">
      <alignment horizontal="right" vertical="center"/>
    </xf>
    <xf numFmtId="177" fontId="13" fillId="26" borderId="16" applyAlignment="1" pivotButton="0" quotePrefix="0" xfId="0">
      <alignment horizontal="right" vertical="center"/>
    </xf>
  </cellXfs>
  <cellStyles count="2">
    <cellStyle name="Обычный" xfId="0" builtinId="0"/>
    <cellStyle name="Финансовый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L18"/>
  <sheetViews>
    <sheetView showGridLines="0" topLeftCell="A4" workbookViewId="0">
      <selection activeCell="B12" sqref="B12:E19"/>
    </sheetView>
  </sheetViews>
  <sheetFormatPr baseColWidth="10" defaultColWidth="8.83203125" defaultRowHeight="15"/>
  <cols>
    <col width="2" customWidth="1" style="46" min="1" max="1"/>
    <col width="17" customWidth="1" style="46" min="2" max="3"/>
    <col width="12" customWidth="1" style="46" min="3" max="3"/>
    <col width="15" customWidth="1" style="46" min="4" max="4"/>
    <col width="3" customWidth="1" style="46" min="5" max="5"/>
    <col width="14" customWidth="1" style="46" min="6" max="7"/>
    <col width="12" customWidth="1" style="46" min="7" max="7"/>
    <col width="12" customWidth="1" style="46" min="8" max="8"/>
    <col width="13" customWidth="1" style="46" min="9" max="9"/>
    <col width="14" customWidth="1" style="46" min="10" max="11"/>
    <col width="12" customWidth="1" style="46" min="11" max="11"/>
    <col width="14" customWidth="1" style="46" min="12" max="12"/>
    <col width="2" customWidth="1" style="46" min="13" max="13"/>
  </cols>
  <sheetData>
    <row r="1" ht="32" customHeight="1" s="46">
      <c r="B1" s="107" t="inlineStr">
        <is>
          <t>Roadmap проекта: 3 этапа за 6 месяцев</t>
        </is>
      </c>
    </row>
    <row r="2" ht="18" customHeight="1" s="46">
      <c r="B2" s="69" t="inlineStr">
        <is>
          <t>От усиления ДЦО через персонализацию — к полноценному CVM — к промышленному масштабу и оптимизации</t>
        </is>
      </c>
    </row>
    <row r="3" ht="49" customHeight="1" s="46"/>
    <row r="4" ht="24" customHeight="1" s="46">
      <c r="B4" s="108" t="inlineStr">
        <is>
          <t>ЭТАП 1  ·  июль–август 2026</t>
        </is>
      </c>
      <c r="C4" s="109" t="n"/>
      <c r="D4" s="109" t="n"/>
      <c r="F4" s="110" t="inlineStr">
        <is>
          <t>ЭТАП 2  ·  сентябрь–ноябрь 2026</t>
        </is>
      </c>
      <c r="G4" s="109" t="n"/>
      <c r="H4" s="109" t="n"/>
      <c r="J4" s="111" t="inlineStr">
        <is>
          <t>ЭТАП 3  ·  декабрь 2026</t>
        </is>
      </c>
      <c r="K4" s="109" t="n"/>
      <c r="L4" s="109" t="n"/>
    </row>
    <row r="5" ht="32" customHeight="1" s="46">
      <c r="B5" s="112" t="inlineStr">
        <is>
          <t>Персонализация ДЦО</t>
        </is>
      </c>
      <c r="C5" s="109" t="n"/>
      <c r="D5" s="109" t="n"/>
      <c r="F5" s="113" t="inlineStr">
        <is>
          <t>Полноценный CVM: 100 сегментов</t>
        </is>
      </c>
      <c r="G5" s="109" t="n"/>
      <c r="H5" s="109" t="n"/>
      <c r="J5" s="114" t="inlineStr">
        <is>
          <t>Масштаб + простая оптимизация</t>
        </is>
      </c>
      <c r="K5" s="109" t="n"/>
      <c r="L5" s="109" t="n"/>
    </row>
    <row r="6" ht="240" customHeight="1" s="46">
      <c r="B6" s="115" t="inlineStr">
        <is>
          <t>ЧТО ДЕЛАЕМ:
•  Перевод ДЦО-акций на персональные рассылки
•  Интеграция готового модуля сегментации MCI
•  Автоматические контрольные группы
•  Запуск агентов: сегментатор, персонализатор,
    копирайтер, редактор-гуманизатор
•  База знаний + бизнес-процесс заведения ДЦО
ЧТО ЭТО ДАЁТ:
•  Рост пенетрации, отдача акций ДЦО выше
•  +27 млн ₽/мес доп. товарооборота ДЦО
•  Фундамент для масштабирования CVM</t>
        </is>
      </c>
      <c r="C6" s="109" t="n"/>
      <c r="D6" s="109" t="n"/>
      <c r="E6" s="116" t="inlineStr">
        <is>
          <t>→</t>
        </is>
      </c>
      <c r="F6" s="115" t="inlineStr">
        <is>
          <t>ЧТО ДЕЛАЕМ:
•  Масштаб до 100 сегментов (на базе MCI)
•  Конвейер массовой генерации контента
•  Операционный интерфейс заведения акций
•  Запуск агентов: дизайнер баннеров, оптимизатор
•  Дашборды эффективности и постэффекты
ЧТО ЭТО ДАЁТ:
•  Полноценный персонализированный CVM-движок
•  +208 млн ₽/мес доп. товарооборота CVM
•  Скорость и охват кампаний кратно выше</t>
        </is>
      </c>
      <c r="G6" s="109" t="n"/>
      <c r="H6" s="109" t="n"/>
      <c r="I6" s="116" t="inlineStr">
        <is>
          <t>→</t>
        </is>
      </c>
      <c r="J6" s="115" t="inlineStr">
        <is>
          <t>ЧТО ДЕЛАЕМ:
•  Простой оптимизатор: автоподбор оффера/частоты,
    антидубли, приоритизация
•  Формирование 200 акций
•  Допиливание интерфейса
•  Передача сервиса заказчику
ЧТО ЭТО ДАЁТ:
•  Промышленный масштаб — 200 акций
•  Доп ТО CVM до 416 млн ₽/мес
•  Автономность и готовность к передаче</t>
        </is>
      </c>
      <c r="K6" s="109" t="n"/>
      <c r="L6" s="109" t="n"/>
    </row>
    <row r="7" ht="49" customHeight="1" s="46"/>
    <row r="8" ht="40" customHeight="1" s="46">
      <c r="B8" s="117" t="inlineStr">
        <is>
          <t>ИТОГ: совокупный доп. товарооборот за 6 мес ~1,28 млрд ₽ (ДЦО 243 млн + CVM 1 040 млн).  100 сегментов, 200 акций/мес, 7 обученных агентов.  Сервис на нашем сервере с передачей заказчику.</t>
        </is>
      </c>
      <c r="C8" s="109" t="n"/>
      <c r="D8" s="109" t="n"/>
      <c r="E8" s="109" t="n"/>
      <c r="F8" s="109" t="n"/>
      <c r="G8" s="109" t="n"/>
      <c r="H8" s="109" t="n"/>
      <c r="I8" s="109" t="n"/>
      <c r="J8" s="109" t="n"/>
      <c r="K8" s="109" t="n"/>
      <c r="L8" s="109" t="n"/>
    </row>
    <row r="10">
      <c r="B10" s="110" t="inlineStr">
        <is>
          <t>КЛЮЧЕВЫЕ ПОКАЗАТЕЛИ</t>
        </is>
      </c>
      <c r="C10" s="109" t="n"/>
      <c r="D10" s="109" t="n"/>
      <c r="F10" s="110" t="inlineStr">
        <is>
          <t>ДОП. ТОВАРООБОРОТ, млн ₽</t>
        </is>
      </c>
      <c r="G10" s="109" t="n"/>
      <c r="H10" s="109" t="n"/>
      <c r="I10" s="109" t="n"/>
    </row>
    <row r="11" ht="24" customHeight="1" s="46">
      <c r="B11" s="118" t="inlineStr">
        <is>
          <t>ROI за период</t>
        </is>
      </c>
      <c r="C11" s="109" t="n"/>
      <c r="D11" s="148" t="n">
        <v>2355</v>
      </c>
      <c r="F11" s="120" t="inlineStr">
        <is>
          <t>Месяц</t>
        </is>
      </c>
      <c r="G11" s="120" t="inlineStr">
        <is>
          <t>ДЦО</t>
        </is>
      </c>
      <c r="H11" s="120" t="inlineStr">
        <is>
          <t>CVM</t>
        </is>
      </c>
      <c r="I11" s="120" t="inlineStr">
        <is>
          <t>Итого</t>
        </is>
      </c>
    </row>
    <row r="12" ht="22" customHeight="1" s="46">
      <c r="B12" s="121" t="inlineStr">
        <is>
          <t>Чистый эффект за 6 мес</t>
        </is>
      </c>
      <c r="C12" s="122" t="n"/>
      <c r="D12" s="149" t="n">
        <v>246149650</v>
      </c>
      <c r="F12" s="124" t="inlineStr">
        <is>
          <t>июль.26</t>
        </is>
      </c>
      <c r="G12" s="150" t="n">
        <v>27000000</v>
      </c>
      <c r="H12" s="150" t="n"/>
      <c r="I12" s="150" t="n">
        <v>27000000</v>
      </c>
    </row>
    <row r="13" ht="22" customHeight="1" s="46">
      <c r="B13" s="118" t="inlineStr">
        <is>
          <t>Валовая прибыль за 6 мес</t>
        </is>
      </c>
      <c r="C13" s="109" t="n"/>
      <c r="D13" s="151">
        <f>D12*0.3</f>
        <v/>
      </c>
      <c r="F13" s="127" t="inlineStr">
        <is>
          <t>авг.26</t>
        </is>
      </c>
      <c r="G13" s="152" t="n">
        <v>27000000</v>
      </c>
      <c r="H13" s="152" t="n"/>
      <c r="I13" s="152" t="n">
        <v>27000000</v>
      </c>
    </row>
    <row r="14" ht="22" customHeight="1" s="46">
      <c r="B14" s="121" t="inlineStr">
        <is>
          <t>Итого затраты за 6 мес (работы + инфра + подписки)</t>
        </is>
      </c>
      <c r="C14" s="122" t="n"/>
      <c r="D14" s="149" t="n">
        <v>10450350</v>
      </c>
      <c r="F14" s="124" t="inlineStr">
        <is>
          <t>сент.26</t>
        </is>
      </c>
      <c r="G14" s="150" t="n">
        <v>27000000</v>
      </c>
      <c r="H14" s="150" t="n">
        <v>208000000</v>
      </c>
      <c r="I14" s="150" t="n">
        <v>235000000</v>
      </c>
    </row>
    <row r="15" ht="22" customHeight="1" s="46">
      <c r="B15" s="118" t="inlineStr">
        <is>
          <t>Доп ТО на 1 ₽ затрат</t>
        </is>
      </c>
      <c r="C15" s="109" t="n"/>
      <c r="D15" s="153" t="n">
        <v>123</v>
      </c>
      <c r="F15" s="127" t="inlineStr">
        <is>
          <t>окт.26</t>
        </is>
      </c>
      <c r="G15" s="152" t="n">
        <v>54000000</v>
      </c>
      <c r="H15" s="152" t="n">
        <v>208000000</v>
      </c>
      <c r="I15" s="152" t="n">
        <v>262000000</v>
      </c>
    </row>
    <row r="16" ht="22" customHeight="1" s="46">
      <c r="B16" s="121" t="inlineStr">
        <is>
          <t>Доля затрат в доп. товарообороте</t>
        </is>
      </c>
      <c r="C16" s="122" t="n"/>
      <c r="D16" s="154" t="n">
        <v>0.8100000000000001</v>
      </c>
      <c r="F16" s="124" t="inlineStr">
        <is>
          <t>ноя.26</t>
        </is>
      </c>
      <c r="G16" s="150" t="n">
        <v>54000000</v>
      </c>
      <c r="H16" s="150" t="n">
        <v>208000000</v>
      </c>
      <c r="I16" s="150" t="n">
        <v>262000000</v>
      </c>
    </row>
    <row r="17" ht="22" customHeight="1" s="46">
      <c r="B17" s="118" t="inlineStr">
        <is>
          <t>Окупаемость (накопл. эффект &gt; 0)</t>
        </is>
      </c>
      <c r="C17" s="109" t="n"/>
      <c r="D17" s="131" t="inlineStr">
        <is>
          <t>июль.26</t>
        </is>
      </c>
      <c r="F17" s="127" t="inlineStr">
        <is>
          <t>дек.26</t>
        </is>
      </c>
      <c r="G17" s="152" t="n">
        <v>54000000</v>
      </c>
      <c r="H17" s="152" t="n">
        <v>416000000</v>
      </c>
      <c r="I17" s="152" t="n">
        <v>470000000</v>
      </c>
    </row>
    <row r="18" ht="22" customHeight="1" s="46">
      <c r="F18" s="132" t="inlineStr">
        <is>
          <t>ИТОГО</t>
        </is>
      </c>
      <c r="G18" s="155" t="n">
        <v>243000000</v>
      </c>
      <c r="H18" s="155" t="n">
        <v>1040000000</v>
      </c>
      <c r="I18" s="155" t="n">
        <v>1283000000</v>
      </c>
    </row>
  </sheetData>
  <mergeCells count="21">
    <mergeCell ref="J6:L6"/>
    <mergeCell ref="B16:C16"/>
    <mergeCell ref="F5:H5"/>
    <mergeCell ref="J4:L4"/>
    <mergeCell ref="B12:C12"/>
    <mergeCell ref="B10:D10"/>
    <mergeCell ref="B11:C11"/>
    <mergeCell ref="B2:L2"/>
    <mergeCell ref="B14:C14"/>
    <mergeCell ref="B17:C17"/>
    <mergeCell ref="F10:I10"/>
    <mergeCell ref="B6:D6"/>
    <mergeCell ref="B8:L8"/>
    <mergeCell ref="B1:L1"/>
    <mergeCell ref="B13:C13"/>
    <mergeCell ref="B5:D5"/>
    <mergeCell ref="B4:D4"/>
    <mergeCell ref="F4:H4"/>
    <mergeCell ref="J5:L5"/>
    <mergeCell ref="F6:H6"/>
    <mergeCell ref="B15:C15"/>
  </mergeCells>
  <pageMargins left="0.3" right="0.3" top="0.3" bottom="0.3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ySplit="3" topLeftCell="A4" activePane="bottomLeft" state="frozen"/>
      <selection pane="bottomLeft" activeCell="L41" sqref="L41"/>
    </sheetView>
  </sheetViews>
  <sheetFormatPr baseColWidth="10" defaultColWidth="8.83203125" defaultRowHeight="15"/>
  <cols>
    <col width="6" customWidth="1" style="46" min="1" max="1"/>
    <col width="9" customWidth="1" style="46" min="2" max="2"/>
    <col width="50" customWidth="1" style="46" min="3" max="3"/>
    <col width="16" customWidth="1" style="46" min="4" max="4"/>
    <col width="30" customWidth="1" style="46" min="5" max="5"/>
    <col width="9" customWidth="1" style="46" min="6" max="12"/>
    <col width="9" customWidth="1" style="46" min="7" max="7"/>
    <col width="9" customWidth="1" style="46" min="8" max="8"/>
    <col width="9" customWidth="1" style="46" min="9" max="9"/>
    <col width="9" customWidth="1" style="46" min="10" max="10"/>
    <col width="9" customWidth="1" style="46" min="11" max="11"/>
    <col width="10" customWidth="1" style="46" min="12" max="12"/>
    <col width="15" customWidth="1" style="46" min="13" max="13"/>
  </cols>
  <sheetData>
    <row r="1" ht="28" customHeight="1" s="46">
      <c r="A1" s="85" t="inlineStr">
        <is>
          <t>Детальный план работ — помесячно   (ставка 4 350 ₽/час, без НДС)</t>
        </is>
      </c>
    </row>
    <row r="3" ht="34" customHeight="1" s="46">
      <c r="A3" s="72" t="inlineStr">
        <is>
          <t>№</t>
        </is>
      </c>
      <c r="B3" s="72" t="inlineStr">
        <is>
          <t>Этап</t>
        </is>
      </c>
      <c r="C3" s="72" t="inlineStr">
        <is>
          <t>Задача</t>
        </is>
      </c>
      <c r="D3" s="72" t="inlineStr">
        <is>
          <t>Блок</t>
        </is>
      </c>
      <c r="E3" s="72" t="inlineStr">
        <is>
          <t>Роль</t>
        </is>
      </c>
      <c r="F3" s="72" t="inlineStr">
        <is>
          <t>июль.26</t>
        </is>
      </c>
      <c r="G3" s="72" t="inlineStr">
        <is>
          <t>авг.26</t>
        </is>
      </c>
      <c r="H3" s="72" t="inlineStr">
        <is>
          <t>сент.26</t>
        </is>
      </c>
      <c r="I3" s="72" t="inlineStr">
        <is>
          <t>окт.26</t>
        </is>
      </c>
      <c r="J3" s="72" t="inlineStr">
        <is>
          <t>ноя.26</t>
        </is>
      </c>
      <c r="K3" s="72" t="inlineStr">
        <is>
          <t>дек.26</t>
        </is>
      </c>
      <c r="L3" s="72" t="inlineStr">
        <is>
          <t>Часы</t>
        </is>
      </c>
    </row>
    <row r="4" ht="26" customHeight="1" s="46">
      <c r="A4" s="86" t="inlineStr">
        <is>
          <t>ЭТАП 1 — Персонализация ДЦО (июль–август)</t>
        </is>
      </c>
      <c r="B4" s="134" t="n"/>
      <c r="C4" s="134" t="n"/>
      <c r="D4" s="134" t="n"/>
      <c r="E4" s="134" t="n"/>
      <c r="F4" s="134" t="n"/>
      <c r="G4" s="134" t="n"/>
      <c r="H4" s="134" t="n"/>
      <c r="I4" s="134" t="n"/>
      <c r="J4" s="134" t="n"/>
      <c r="K4" s="134" t="n"/>
      <c r="L4" s="135" t="n"/>
    </row>
    <row r="5" ht="46" customHeight="1" s="46">
      <c r="A5" s="87" t="inlineStr">
        <is>
          <t>1.1</t>
        </is>
      </c>
      <c r="B5" s="81" t="inlineStr">
        <is>
          <t>Этап 1</t>
        </is>
      </c>
      <c r="C5" s="78" t="inlineStr">
        <is>
          <t>Развёртывание сервиса на нашем сервере: окружение, домены, доступы, безопасность, бэкапы</t>
        </is>
      </c>
      <c r="D5" s="88" t="inlineStr">
        <is>
          <t>Технический</t>
        </is>
      </c>
      <c r="E5" s="78" t="inlineStr">
        <is>
          <t>Data engineer</t>
        </is>
      </c>
      <c r="F5" s="136" t="n">
        <v>34</v>
      </c>
      <c r="G5" s="136" t="n">
        <v>22</v>
      </c>
      <c r="H5" s="136" t="n"/>
      <c r="I5" s="136" t="n"/>
      <c r="J5" s="136" t="n"/>
      <c r="K5" s="136" t="n"/>
      <c r="L5" s="137">
        <f>SUM(F5:K5)</f>
        <v/>
      </c>
    </row>
    <row r="6" ht="46" customHeight="1" s="46">
      <c r="A6" s="87" t="inlineStr">
        <is>
          <t>1.2</t>
        </is>
      </c>
      <c r="B6" s="81" t="inlineStr">
        <is>
          <t>Этап 1</t>
        </is>
      </c>
      <c r="C6" s="78" t="inlineStr">
        <is>
          <t>Интеграция источников данных ДЦО (клиенты, история покупок, текущие ДЦО-акции)</t>
        </is>
      </c>
      <c r="D6" s="88" t="inlineStr">
        <is>
          <t>Технический</t>
        </is>
      </c>
      <c r="E6" s="78" t="inlineStr">
        <is>
          <t>Data engineer</t>
        </is>
      </c>
      <c r="F6" s="136" t="n">
        <v>12</v>
      </c>
      <c r="G6" s="136" t="n">
        <v>18</v>
      </c>
      <c r="H6" s="136" t="n"/>
      <c r="I6" s="136" t="n"/>
      <c r="J6" s="136" t="n"/>
      <c r="K6" s="136" t="n"/>
      <c r="L6" s="137">
        <f>SUM(F6:K6)</f>
        <v/>
      </c>
    </row>
    <row r="7" ht="46" customHeight="1" s="46">
      <c r="A7" s="87" t="inlineStr">
        <is>
          <t>1.3</t>
        </is>
      </c>
      <c r="B7" s="81" t="inlineStr">
        <is>
          <t>Этап 1</t>
        </is>
      </c>
      <c r="C7" s="78" t="inlineStr">
        <is>
          <t>Интеграция готового модуля сегментации MCI в проект + интерфейс выбора сегментов</t>
        </is>
      </c>
      <c r="D7" s="88" t="inlineStr">
        <is>
          <t>Технический</t>
        </is>
      </c>
      <c r="E7" s="78" t="inlineStr">
        <is>
          <t>Data engineer + Backend</t>
        </is>
      </c>
      <c r="F7" s="136" t="n">
        <v>46</v>
      </c>
      <c r="G7" s="136" t="n">
        <v>24</v>
      </c>
      <c r="H7" s="136" t="n"/>
      <c r="I7" s="136" t="n"/>
      <c r="J7" s="136" t="n"/>
      <c r="K7" s="136" t="n"/>
      <c r="L7" s="137">
        <f>SUM(F7:K7)</f>
        <v/>
      </c>
    </row>
    <row r="8" ht="46" customHeight="1" s="46">
      <c r="A8" s="87" t="inlineStr">
        <is>
          <t>1.4</t>
        </is>
      </c>
      <c r="B8" s="81" t="inlineStr">
        <is>
          <t>Этап 1</t>
        </is>
      </c>
      <c r="C8" s="78" t="inlineStr">
        <is>
          <t>Настройка автоматических контрольных групп (на базе MCI)</t>
        </is>
      </c>
      <c r="D8" s="88" t="inlineStr">
        <is>
          <t>Технический</t>
        </is>
      </c>
      <c r="E8" s="78" t="inlineStr">
        <is>
          <t>CVM-аналитик</t>
        </is>
      </c>
      <c r="F8" s="136" t="n">
        <v>18</v>
      </c>
      <c r="G8" s="136" t="n">
        <v>22</v>
      </c>
      <c r="H8" s="136" t="n"/>
      <c r="I8" s="136" t="n"/>
      <c r="J8" s="136" t="n"/>
      <c r="K8" s="136" t="n"/>
      <c r="L8" s="137">
        <f>SUM(F8:K8)</f>
        <v/>
      </c>
    </row>
    <row r="9" ht="46" customHeight="1" s="46">
      <c r="A9" s="87" t="inlineStr">
        <is>
          <t>1.5</t>
        </is>
      </c>
      <c r="B9" s="81" t="inlineStr">
        <is>
          <t>Этап 1</t>
        </is>
      </c>
      <c r="C9" s="78" t="inlineStr">
        <is>
          <t>Движок персонализации текстов ДЦО (адаптация генератора под сегмент)</t>
        </is>
      </c>
      <c r="D9" s="88" t="inlineStr">
        <is>
          <t>Технический</t>
        </is>
      </c>
      <c r="E9" s="78" t="inlineStr">
        <is>
          <t>AI-инженер</t>
        </is>
      </c>
      <c r="F9" s="136" t="n">
        <v>61</v>
      </c>
      <c r="G9" s="136" t="n">
        <v>49</v>
      </c>
      <c r="H9" s="136" t="n"/>
      <c r="I9" s="136" t="n"/>
      <c r="J9" s="136" t="n"/>
      <c r="K9" s="136" t="n"/>
      <c r="L9" s="137">
        <f>SUM(F9:K9)</f>
        <v/>
      </c>
    </row>
    <row r="10" ht="46" customHeight="1" s="46">
      <c r="A10" s="87" t="inlineStr">
        <is>
          <t>1.6</t>
        </is>
      </c>
      <c r="B10" s="81" t="inlineStr">
        <is>
          <t>Этап 1</t>
        </is>
      </c>
      <c r="C10" s="78" t="inlineStr">
        <is>
          <t>Методология персонализации ДЦО (карта сегмент → оффер)</t>
        </is>
      </c>
      <c r="D10" s="91" t="inlineStr">
        <is>
          <t>Операционный</t>
        </is>
      </c>
      <c r="E10" s="78" t="inlineStr">
        <is>
          <t>Руководитель проекта / CVM-методолог</t>
        </is>
      </c>
      <c r="F10" s="136" t="n">
        <v>14</v>
      </c>
      <c r="G10" s="136" t="n">
        <v>26</v>
      </c>
      <c r="H10" s="136" t="n"/>
      <c r="I10" s="136" t="n"/>
      <c r="J10" s="136" t="n"/>
      <c r="K10" s="136" t="n"/>
      <c r="L10" s="137">
        <f>SUM(F10:K10)</f>
        <v/>
      </c>
    </row>
    <row r="11" ht="46" customHeight="1" s="46">
      <c r="A11" s="87" t="inlineStr">
        <is>
          <t>1.7</t>
        </is>
      </c>
      <c r="B11" s="81" t="inlineStr">
        <is>
          <t>Этап 1</t>
        </is>
      </c>
      <c r="C11" s="78" t="inlineStr">
        <is>
          <t>Перевод текущих ДЦО-акций в персональный формат (контент)</t>
        </is>
      </c>
      <c r="D11" s="91" t="inlineStr">
        <is>
          <t>Операционный</t>
        </is>
      </c>
      <c r="E11" s="78" t="inlineStr">
        <is>
          <t>AI-инженер + маркетолог</t>
        </is>
      </c>
      <c r="F11" s="136" t="n">
        <v>70</v>
      </c>
      <c r="G11" s="136" t="n">
        <v>30</v>
      </c>
      <c r="H11" s="136" t="n"/>
      <c r="I11" s="136" t="n"/>
      <c r="J11" s="136" t="n"/>
      <c r="K11" s="136" t="n"/>
      <c r="L11" s="137">
        <f>SUM(F11:K11)</f>
        <v/>
      </c>
    </row>
    <row r="12" ht="46" customHeight="1" s="46">
      <c r="A12" s="87" t="inlineStr">
        <is>
          <t>1.8</t>
        </is>
      </c>
      <c r="B12" s="81" t="inlineStr">
        <is>
          <t>Этап 1</t>
        </is>
      </c>
      <c r="C12" s="78" t="inlineStr">
        <is>
          <t>Создание базы знаний: шаблоны, скиллы, гайдлайны, tone of voice</t>
        </is>
      </c>
      <c r="D12" s="91" t="inlineStr">
        <is>
          <t>Операционный</t>
        </is>
      </c>
      <c r="E12" s="78" t="inlineStr">
        <is>
          <t>AI-инженер + маркетолог</t>
        </is>
      </c>
      <c r="F12" s="136" t="n">
        <v>30</v>
      </c>
      <c r="G12" s="136" t="n">
        <v>30</v>
      </c>
      <c r="H12" s="136" t="n"/>
      <c r="I12" s="136" t="n"/>
      <c r="J12" s="136" t="n"/>
      <c r="K12" s="136" t="n"/>
      <c r="L12" s="137">
        <f>SUM(F12:K12)</f>
        <v/>
      </c>
    </row>
    <row r="13" ht="46" customHeight="1" s="46">
      <c r="A13" s="87" t="inlineStr">
        <is>
          <t>1.9</t>
        </is>
      </c>
      <c r="B13" s="81" t="inlineStr">
        <is>
          <t>Этап 1</t>
        </is>
      </c>
      <c r="C13" s="78" t="inlineStr">
        <is>
          <t>Согласование и выстраивание бизнес-процесса планирования и заведения ДЦО</t>
        </is>
      </c>
      <c r="D13" s="91" t="inlineStr">
        <is>
          <t>Операционный</t>
        </is>
      </c>
      <c r="E13" s="78" t="inlineStr">
        <is>
          <t>Руководитель проекта + аналитик</t>
        </is>
      </c>
      <c r="F13" s="136" t="n">
        <v>27</v>
      </c>
      <c r="G13" s="136" t="n">
        <v>33</v>
      </c>
      <c r="H13" s="136" t="n"/>
      <c r="I13" s="136" t="n"/>
      <c r="J13" s="136" t="n"/>
      <c r="K13" s="136" t="n"/>
      <c r="L13" s="137">
        <f>SUM(F13:K13)</f>
        <v/>
      </c>
    </row>
    <row r="14" ht="46" customHeight="1" s="46">
      <c r="A14" s="87" t="inlineStr">
        <is>
          <t>1.10</t>
        </is>
      </c>
      <c r="B14" s="81" t="inlineStr">
        <is>
          <t>Этап 1</t>
        </is>
      </c>
      <c r="C14" s="78" t="inlineStr">
        <is>
          <t>Пилотный запуск + аналитика постэффектов vs контрольная группа</t>
        </is>
      </c>
      <c r="D14" s="91" t="inlineStr">
        <is>
          <t>Операционный</t>
        </is>
      </c>
      <c r="E14" s="78" t="inlineStr">
        <is>
          <t>CVM-аналитик</t>
        </is>
      </c>
      <c r="F14" s="136" t="n">
        <v>36</v>
      </c>
      <c r="G14" s="136" t="n">
        <v>24</v>
      </c>
      <c r="H14" s="136" t="n"/>
      <c r="I14" s="136" t="n"/>
      <c r="J14" s="136" t="n"/>
      <c r="K14" s="136" t="n"/>
      <c r="L14" s="137">
        <f>SUM(F14:K14)</f>
        <v/>
      </c>
    </row>
    <row r="15" ht="46" customHeight="1" s="46">
      <c r="A15" s="87" t="inlineStr">
        <is>
          <t>1.11</t>
        </is>
      </c>
      <c r="B15" s="81" t="inlineStr">
        <is>
          <t>Этап 1</t>
        </is>
      </c>
      <c r="C15" s="78" t="inlineStr">
        <is>
          <t>Управление этапом: статусы, демо, приёмка</t>
        </is>
      </c>
      <c r="D15" s="91" t="inlineStr">
        <is>
          <t>Операционный</t>
        </is>
      </c>
      <c r="E15" s="78" t="inlineStr">
        <is>
          <t>Руководитель проекта / CVM-методолог</t>
        </is>
      </c>
      <c r="F15" s="136" t="n">
        <v>22</v>
      </c>
      <c r="G15" s="136" t="n">
        <v>42</v>
      </c>
      <c r="H15" s="136" t="n"/>
      <c r="I15" s="136" t="n"/>
      <c r="J15" s="136" t="n"/>
      <c r="K15" s="136" t="n"/>
      <c r="L15" s="137">
        <f>SUM(F15:K15)</f>
        <v/>
      </c>
    </row>
    <row r="16" ht="64" customHeight="1" s="46">
      <c r="A16" s="87" t="inlineStr">
        <is>
          <t>1.12</t>
        </is>
      </c>
      <c r="B16" s="81" t="inlineStr">
        <is>
          <t>Этап 1</t>
        </is>
      </c>
      <c r="C16" s="78" t="inlineStr">
        <is>
          <t>Аренда и настройка отдельных серверов под агентов: изолированные среды, оркестрация, мониторинг</t>
        </is>
      </c>
      <c r="D16" s="88" t="inlineStr">
        <is>
          <t>Технический</t>
        </is>
      </c>
      <c r="E16" s="78" t="inlineStr">
        <is>
          <t>Data engineer</t>
        </is>
      </c>
      <c r="F16" s="136" t="n">
        <v>22</v>
      </c>
      <c r="G16" s="136" t="n">
        <v>18</v>
      </c>
      <c r="H16" s="136" t="n"/>
      <c r="I16" s="136" t="n"/>
      <c r="J16" s="136" t="n"/>
      <c r="K16" s="136" t="n"/>
      <c r="L16" s="137">
        <f>SUM(F16:K16)</f>
        <v/>
      </c>
    </row>
    <row r="17" ht="46" customHeight="1" s="46">
      <c r="A17" s="87" t="inlineStr">
        <is>
          <t>1.13</t>
        </is>
      </c>
      <c r="B17" s="81" t="inlineStr">
        <is>
          <t>Этап 1</t>
        </is>
      </c>
      <c r="C17" s="78" t="inlineStr">
        <is>
          <t>Безопасность: шифрование и дешифровка данных для агентов (доступ к ПДн, маскирование, ключи)</t>
        </is>
      </c>
      <c r="D17" s="88" t="inlineStr">
        <is>
          <t>Технический</t>
        </is>
      </c>
      <c r="E17" s="78" t="inlineStr">
        <is>
          <t>Data engineer / безопасность</t>
        </is>
      </c>
      <c r="F17" s="136" t="n">
        <v>26</v>
      </c>
      <c r="G17" s="136" t="n">
        <v>14</v>
      </c>
      <c r="H17" s="136" t="n"/>
      <c r="I17" s="136" t="n"/>
      <c r="J17" s="136" t="n"/>
      <c r="K17" s="136" t="n"/>
      <c r="L17" s="137">
        <f>SUM(F17:K17)</f>
        <v/>
      </c>
    </row>
    <row r="18" ht="26" customHeight="1" s="46">
      <c r="A18" s="86" t="inlineStr">
        <is>
          <t>ЭТАП 2 — Полноценный CVM: 100 сегментов (сентябрь–ноябрь)</t>
        </is>
      </c>
      <c r="B18" s="134" t="n"/>
      <c r="C18" s="134" t="n"/>
      <c r="D18" s="134" t="n"/>
      <c r="E18" s="134" t="n"/>
      <c r="F18" s="134" t="n"/>
      <c r="G18" s="134" t="n"/>
      <c r="H18" s="134" t="n"/>
      <c r="I18" s="134" t="n"/>
      <c r="J18" s="134" t="n"/>
      <c r="K18" s="134" t="n"/>
      <c r="L18" s="135" t="n"/>
    </row>
    <row r="19" ht="46" customHeight="1" s="46">
      <c r="A19" s="87" t="inlineStr">
        <is>
          <t>2.1</t>
        </is>
      </c>
      <c r="B19" s="81" t="inlineStr">
        <is>
          <t>Этап 2</t>
        </is>
      </c>
      <c r="C19" s="78" t="inlineStr">
        <is>
          <t>Интеграция и настройка 100 сегментов MCI в проекте (конфиг, обновление, выгрузки)</t>
        </is>
      </c>
      <c r="D19" s="88" t="inlineStr">
        <is>
          <t>Технический</t>
        </is>
      </c>
      <c r="E19" s="78" t="inlineStr">
        <is>
          <t>Data engineer</t>
        </is>
      </c>
      <c r="F19" s="136" t="n"/>
      <c r="G19" s="136" t="n"/>
      <c r="H19" s="136" t="n">
        <v>31</v>
      </c>
      <c r="I19" s="136" t="n">
        <v>27</v>
      </c>
      <c r="J19" s="136" t="n">
        <v>32</v>
      </c>
      <c r="K19" s="136" t="n"/>
      <c r="L19" s="137">
        <f>SUM(F19:K19)</f>
        <v/>
      </c>
    </row>
    <row r="20" ht="46" customHeight="1" s="46">
      <c r="A20" s="87" t="inlineStr">
        <is>
          <t>2.2</t>
        </is>
      </c>
      <c r="B20" s="81" t="inlineStr">
        <is>
          <t>Этап 2</t>
        </is>
      </c>
      <c r="C20" s="78" t="inlineStr">
        <is>
          <t>Конвейер массовой генерации контента (push / купон / баннер / e-mail)</t>
        </is>
      </c>
      <c r="D20" s="88" t="inlineStr">
        <is>
          <t>Технический</t>
        </is>
      </c>
      <c r="E20" s="78" t="inlineStr">
        <is>
          <t>AI-инженер + маркетолог</t>
        </is>
      </c>
      <c r="F20" s="136" t="n"/>
      <c r="G20" s="136" t="n"/>
      <c r="H20" s="136" t="n">
        <v>39</v>
      </c>
      <c r="I20" s="136" t="n">
        <v>52</v>
      </c>
      <c r="J20" s="136" t="n">
        <v>39</v>
      </c>
      <c r="K20" s="136" t="n"/>
      <c r="L20" s="137">
        <f>SUM(F20:K20)</f>
        <v/>
      </c>
    </row>
    <row r="21" ht="64" customHeight="1" s="46">
      <c r="A21" s="87" t="inlineStr">
        <is>
          <t>2.3</t>
        </is>
      </c>
      <c r="B21" s="81" t="inlineStr">
        <is>
          <t>Этап 2</t>
        </is>
      </c>
      <c r="C21" s="78" t="inlineStr">
        <is>
          <t>Операционный интерфейс заведения акций (бриф → сегмент → механика → контент → расписание → выгрузка)</t>
        </is>
      </c>
      <c r="D21" s="88" t="inlineStr">
        <is>
          <t>Технический</t>
        </is>
      </c>
      <c r="E21" s="78" t="inlineStr">
        <is>
          <t>Backend-разработчик</t>
        </is>
      </c>
      <c r="F21" s="136" t="n"/>
      <c r="G21" s="136" t="n"/>
      <c r="H21" s="136" t="n">
        <v>44</v>
      </c>
      <c r="I21" s="136" t="n">
        <v>33</v>
      </c>
      <c r="J21" s="136" t="n">
        <v>33</v>
      </c>
      <c r="K21" s="136" t="n"/>
      <c r="L21" s="137">
        <f>SUM(F21:K21)</f>
        <v/>
      </c>
    </row>
    <row r="22" ht="30" customHeight="1" s="46">
      <c r="A22" s="87" t="inlineStr">
        <is>
          <t>2.4</t>
        </is>
      </c>
      <c r="B22" s="81" t="inlineStr">
        <is>
          <t>Этап 2</t>
        </is>
      </c>
      <c r="C22" s="78" t="inlineStr">
        <is>
          <t>Интеграция деплинков, SKU и механик в конвейер</t>
        </is>
      </c>
      <c r="D22" s="88" t="inlineStr">
        <is>
          <t>Технический</t>
        </is>
      </c>
      <c r="E22" s="78" t="inlineStr">
        <is>
          <t>Data engineer</t>
        </is>
      </c>
      <c r="F22" s="136" t="n"/>
      <c r="G22" s="136" t="n"/>
      <c r="H22" s="136" t="n">
        <v>27</v>
      </c>
      <c r="I22" s="136" t="n">
        <v>21</v>
      </c>
      <c r="J22" s="136" t="n">
        <v>12</v>
      </c>
      <c r="K22" s="136" t="n"/>
      <c r="L22" s="137">
        <f>SUM(F22:K22)</f>
        <v/>
      </c>
    </row>
    <row r="23" ht="64" customHeight="1" s="46">
      <c r="A23" s="87" t="inlineStr">
        <is>
          <t>2.15</t>
        </is>
      </c>
      <c r="B23" s="81" t="inlineStr">
        <is>
          <t>Этап 2</t>
        </is>
      </c>
      <c r="C23" s="78" t="inlineStr">
        <is>
          <t>Разработка агента-конструктора акций: сборка механики, условий, SKU/деплинков, расчёт выгоды и сроков</t>
        </is>
      </c>
      <c r="D23" s="88" t="inlineStr">
        <is>
          <t>Технический</t>
        </is>
      </c>
      <c r="E23" s="78" t="inlineStr">
        <is>
          <t>AI-инженер</t>
        </is>
      </c>
      <c r="F23" s="136" t="n"/>
      <c r="G23" s="136" t="n"/>
      <c r="H23" s="136" t="n">
        <v>18</v>
      </c>
      <c r="I23" s="136" t="n">
        <v>31</v>
      </c>
      <c r="J23" s="136" t="n">
        <v>41</v>
      </c>
      <c r="K23" s="136" t="n"/>
      <c r="L23" s="137">
        <f>SUM(F23:K23)</f>
        <v/>
      </c>
    </row>
    <row r="24" ht="64" customHeight="1" s="46">
      <c r="A24" s="87" t="inlineStr">
        <is>
          <t>2.16</t>
        </is>
      </c>
      <c r="B24" s="81" t="inlineStr">
        <is>
          <t>Этап 2</t>
        </is>
      </c>
      <c r="C24" s="78" t="inlineStr">
        <is>
          <t>Разработка агента-оператора заведения акций: автозаполнение полей, расписание, выгрузка, валидация, ввод в систему</t>
        </is>
      </c>
      <c r="D24" s="88" t="inlineStr">
        <is>
          <t>Технический</t>
        </is>
      </c>
      <c r="E24" s="78" t="inlineStr">
        <is>
          <t>AI-инженер + Backend</t>
        </is>
      </c>
      <c r="F24" s="136" t="n"/>
      <c r="G24" s="136" t="n"/>
      <c r="H24" s="136" t="n">
        <v>32</v>
      </c>
      <c r="I24" s="136" t="n">
        <v>24</v>
      </c>
      <c r="J24" s="136" t="n">
        <v>24</v>
      </c>
      <c r="K24" s="136" t="n"/>
      <c r="L24" s="137">
        <f>SUM(F24:K24)</f>
        <v/>
      </c>
    </row>
    <row r="25" ht="46" customHeight="1" s="46">
      <c r="A25" s="87" t="inlineStr">
        <is>
          <t>2.5</t>
        </is>
      </c>
      <c r="B25" s="81" t="inlineStr">
        <is>
          <t>Этап 2</t>
        </is>
      </c>
      <c r="C25" s="78" t="inlineStr">
        <is>
          <t>Простой оптимизатор по акциям (подбор оффера под сегмент, правила/скоринг)</t>
        </is>
      </c>
      <c r="D25" s="88" t="inlineStr">
        <is>
          <t>Технический</t>
        </is>
      </c>
      <c r="E25" s="78" t="inlineStr">
        <is>
          <t>AI-инженер</t>
        </is>
      </c>
      <c r="F25" s="136" t="n"/>
      <c r="G25" s="136" t="n"/>
      <c r="H25" s="136" t="n">
        <v>30</v>
      </c>
      <c r="I25" s="136" t="n">
        <v>30</v>
      </c>
      <c r="J25" s="136" t="n">
        <v>40</v>
      </c>
      <c r="K25" s="136" t="n"/>
      <c r="L25" s="137">
        <f>SUM(F25:K25)</f>
        <v/>
      </c>
    </row>
    <row r="26" ht="46" customHeight="1" s="46">
      <c r="A26" s="87" t="inlineStr">
        <is>
          <t>2.6</t>
        </is>
      </c>
      <c r="B26" s="81" t="inlineStr">
        <is>
          <t>Этап 2</t>
        </is>
      </c>
      <c r="C26" s="78" t="inlineStr">
        <is>
          <t>Дашборд эффективности и аналитика постэффектов сегментных акций / контрольных групп</t>
        </is>
      </c>
      <c r="D26" s="88" t="inlineStr">
        <is>
          <t>Технический</t>
        </is>
      </c>
      <c r="E26" s="78" t="inlineStr">
        <is>
          <t>CVM-аналитик</t>
        </is>
      </c>
      <c r="F26" s="136" t="n"/>
      <c r="G26" s="136" t="n"/>
      <c r="H26" s="136" t="n">
        <v>45</v>
      </c>
      <c r="I26" s="136" t="n">
        <v>27</v>
      </c>
      <c r="J26" s="136" t="n">
        <v>18</v>
      </c>
      <c r="K26" s="136" t="n"/>
      <c r="L26" s="137">
        <f>SUM(F26:K26)</f>
        <v/>
      </c>
    </row>
    <row r="27" ht="46" customHeight="1" s="46">
      <c r="A27" s="87" t="inlineStr">
        <is>
          <t>2.7</t>
        </is>
      </c>
      <c r="B27" s="81" t="inlineStr">
        <is>
          <t>Этап 2</t>
        </is>
      </c>
      <c r="C27" s="78" t="inlineStr">
        <is>
          <t>Формирование контента под 100 сегментов (тексты, проверка ToV, скиллы)</t>
        </is>
      </c>
      <c r="D27" s="91" t="inlineStr">
        <is>
          <t>Операционный</t>
        </is>
      </c>
      <c r="E27" s="78" t="inlineStr">
        <is>
          <t>AI-инженер + маркетолог</t>
        </is>
      </c>
      <c r="F27" s="136" t="n"/>
      <c r="G27" s="136" t="n"/>
      <c r="H27" s="136" t="n">
        <v>32</v>
      </c>
      <c r="I27" s="136" t="n">
        <v>52</v>
      </c>
      <c r="J27" s="136" t="n">
        <v>46</v>
      </c>
      <c r="K27" s="136" t="n"/>
      <c r="L27" s="137">
        <f>SUM(F27:K27)</f>
        <v/>
      </c>
    </row>
    <row r="28" ht="46" customHeight="1" s="46">
      <c r="A28" s="87" t="inlineStr">
        <is>
          <t>2.8</t>
        </is>
      </c>
      <c r="B28" s="81" t="inlineStr">
        <is>
          <t>Этап 2</t>
        </is>
      </c>
      <c r="C28" s="78" t="inlineStr">
        <is>
          <t>Операционная часть заведения акций (настройка, расписание, QA)</t>
        </is>
      </c>
      <c r="D28" s="91" t="inlineStr">
        <is>
          <t>Операционный</t>
        </is>
      </c>
      <c r="E28" s="78" t="inlineStr">
        <is>
          <t>Маркетолог + аналитик</t>
        </is>
      </c>
      <c r="F28" s="136" t="n"/>
      <c r="G28" s="136" t="n"/>
      <c r="H28" s="136" t="n">
        <v>31</v>
      </c>
      <c r="I28" s="136" t="n">
        <v>36</v>
      </c>
      <c r="J28" s="136" t="n">
        <v>23</v>
      </c>
      <c r="K28" s="136" t="n"/>
      <c r="L28" s="137">
        <f>SUM(F28:K28)</f>
        <v/>
      </c>
    </row>
    <row r="29" ht="46" customHeight="1" s="46">
      <c r="A29" s="87" t="inlineStr">
        <is>
          <t>2.9</t>
        </is>
      </c>
      <c r="B29" s="81" t="inlineStr">
        <is>
          <t>Этап 2</t>
        </is>
      </c>
      <c r="C29" s="78" t="inlineStr">
        <is>
          <t>Выстраивание бизнес-процесса планирования и согласования сетки CVM-акций</t>
        </is>
      </c>
      <c r="D29" s="91" t="inlineStr">
        <is>
          <t>Операционный</t>
        </is>
      </c>
      <c r="E29" s="78" t="inlineStr">
        <is>
          <t>Руководитель проекта + аналитик</t>
        </is>
      </c>
      <c r="F29" s="136" t="n"/>
      <c r="G29" s="136" t="n"/>
      <c r="H29" s="136" t="n">
        <v>21</v>
      </c>
      <c r="I29" s="136" t="n">
        <v>32</v>
      </c>
      <c r="J29" s="136" t="n">
        <v>17</v>
      </c>
      <c r="K29" s="136" t="n"/>
      <c r="L29" s="137">
        <f>SUM(F29:K29)</f>
        <v/>
      </c>
    </row>
    <row r="30" ht="46" customHeight="1" s="46">
      <c r="A30" s="87" t="inlineStr">
        <is>
          <t>2.10</t>
        </is>
      </c>
      <c r="B30" s="81" t="inlineStr">
        <is>
          <t>Этап 2</t>
        </is>
      </c>
      <c r="C30" s="78" t="inlineStr">
        <is>
          <t>Методология 100 сегментов (карта сегмент → категория → механика)</t>
        </is>
      </c>
      <c r="D30" s="91" t="inlineStr">
        <is>
          <t>Операционный</t>
        </is>
      </c>
      <c r="E30" s="78" t="inlineStr">
        <is>
          <t>Руководитель проекта / CVM-методолог</t>
        </is>
      </c>
      <c r="F30" s="136" t="n"/>
      <c r="G30" s="136" t="n"/>
      <c r="H30" s="136" t="n">
        <v>10</v>
      </c>
      <c r="I30" s="136" t="n">
        <v>20</v>
      </c>
      <c r="J30" s="136" t="n">
        <v>20</v>
      </c>
      <c r="K30" s="136" t="n"/>
      <c r="L30" s="137">
        <f>SUM(F30:K30)</f>
        <v/>
      </c>
    </row>
    <row r="31" ht="46" customHeight="1" s="46">
      <c r="A31" s="87" t="inlineStr">
        <is>
          <t>2.11</t>
        </is>
      </c>
      <c r="B31" s="81" t="inlineStr">
        <is>
          <t>Этап 2</t>
        </is>
      </c>
      <c r="C31" s="78" t="inlineStr">
        <is>
          <t>Обучение и онбординг команды заказчика</t>
        </is>
      </c>
      <c r="D31" s="91" t="inlineStr">
        <is>
          <t>Операционный</t>
        </is>
      </c>
      <c r="E31" s="78" t="inlineStr">
        <is>
          <t>Руководитель проекта / CVM-методолог</t>
        </is>
      </c>
      <c r="F31" s="136" t="n"/>
      <c r="G31" s="136" t="n"/>
      <c r="H31" s="136" t="n">
        <v>16</v>
      </c>
      <c r="I31" s="136" t="n">
        <v>9</v>
      </c>
      <c r="J31" s="136" t="n">
        <v>10</v>
      </c>
      <c r="K31" s="136" t="n"/>
      <c r="L31" s="137">
        <f>SUM(F31:K31)</f>
        <v/>
      </c>
    </row>
    <row r="32" ht="46" customHeight="1" s="46">
      <c r="A32" s="87" t="inlineStr">
        <is>
          <t>2.12</t>
        </is>
      </c>
      <c r="B32" s="81" t="inlineStr">
        <is>
          <t>Этап 2</t>
        </is>
      </c>
      <c r="C32" s="78" t="inlineStr">
        <is>
          <t>Управление этапом: статусы, демо, приёмка</t>
        </is>
      </c>
      <c r="D32" s="91" t="inlineStr">
        <is>
          <t>Операционный</t>
        </is>
      </c>
      <c r="E32" s="78" t="inlineStr">
        <is>
          <t>Руководитель проекта / CVM-методолог</t>
        </is>
      </c>
      <c r="F32" s="136" t="n"/>
      <c r="G32" s="136" t="n"/>
      <c r="H32" s="136" t="n">
        <v>24</v>
      </c>
      <c r="I32" s="136" t="n">
        <v>28</v>
      </c>
      <c r="J32" s="136" t="n">
        <v>28</v>
      </c>
      <c r="K32" s="136" t="n"/>
      <c r="L32" s="137">
        <f>SUM(F32:K32)</f>
        <v/>
      </c>
    </row>
    <row r="33" ht="64" customHeight="1" s="46">
      <c r="A33" s="87" t="inlineStr">
        <is>
          <t>2.13</t>
        </is>
      </c>
      <c r="B33" s="81" t="inlineStr">
        <is>
          <t>Этап 2</t>
        </is>
      </c>
      <c r="C33" s="78" t="inlineStr">
        <is>
          <t>Обучение и вывод агентов в продакшн (копирайтер, редактор-гуманизатор, дизайнер баннеров, оптимизатор)</t>
        </is>
      </c>
      <c r="D33" s="88" t="inlineStr">
        <is>
          <t>Технический</t>
        </is>
      </c>
      <c r="E33" s="78" t="inlineStr">
        <is>
          <t>AI-инженер</t>
        </is>
      </c>
      <c r="F33" s="136" t="n"/>
      <c r="G33" s="136" t="n"/>
      <c r="H33" s="136" t="n">
        <v>20</v>
      </c>
      <c r="I33" s="136" t="n">
        <v>18</v>
      </c>
      <c r="J33" s="136" t="n">
        <v>12</v>
      </c>
      <c r="K33" s="136" t="n"/>
      <c r="L33" s="137">
        <f>SUM(F33:K33)</f>
        <v/>
      </c>
    </row>
    <row r="34" ht="64" customHeight="1" s="46">
      <c r="A34" s="87" t="inlineStr">
        <is>
          <t>2.14</t>
        </is>
      </c>
      <c r="B34" s="81" t="inlineStr">
        <is>
          <t>Этап 2</t>
        </is>
      </c>
      <c r="C34" s="78" t="inlineStr">
        <is>
          <t>Безопасность: дешифровка и подготовка данных для аналитики (постэффекты, контрольные группы, дашборды)</t>
        </is>
      </c>
      <c r="D34" s="88" t="inlineStr">
        <is>
          <t>Технический</t>
        </is>
      </c>
      <c r="E34" s="78" t="inlineStr">
        <is>
          <t>CVM-аналитик + Data engineer</t>
        </is>
      </c>
      <c r="F34" s="136" t="n"/>
      <c r="G34" s="136" t="n"/>
      <c r="H34" s="136" t="n">
        <v>8</v>
      </c>
      <c r="I34" s="136" t="n">
        <v>10</v>
      </c>
      <c r="J34" s="136" t="n">
        <v>12</v>
      </c>
      <c r="K34" s="136" t="n"/>
      <c r="L34" s="137">
        <f>SUM(F34:K34)</f>
        <v/>
      </c>
    </row>
    <row r="35" ht="26" customHeight="1" s="46">
      <c r="A35" s="86" t="inlineStr">
        <is>
          <t>ЭТАП 3 — Масштаб + простая оптимизация (декабрь)</t>
        </is>
      </c>
      <c r="B35" s="134" t="n"/>
      <c r="C35" s="134" t="n"/>
      <c r="D35" s="134" t="n"/>
      <c r="E35" s="134" t="n"/>
      <c r="F35" s="134" t="n"/>
      <c r="G35" s="134" t="n"/>
      <c r="H35" s="134" t="n"/>
      <c r="I35" s="134" t="n"/>
      <c r="J35" s="134" t="n"/>
      <c r="K35" s="134" t="n"/>
      <c r="L35" s="135" t="n"/>
    </row>
    <row r="36" ht="46" customHeight="1" s="46">
      <c r="A36" s="87" t="inlineStr">
        <is>
          <t>3.1</t>
        </is>
      </c>
      <c r="B36" s="81" t="inlineStr">
        <is>
          <t>Этап 3</t>
        </is>
      </c>
      <c r="C36" s="78" t="inlineStr">
        <is>
          <t>Допиливание и стабилизация интерфейса заведения акций</t>
        </is>
      </c>
      <c r="D36" s="88" t="inlineStr">
        <is>
          <t>Технический</t>
        </is>
      </c>
      <c r="E36" s="78" t="inlineStr">
        <is>
          <t>Backend-разработчик</t>
        </is>
      </c>
      <c r="F36" s="136" t="n"/>
      <c r="G36" s="136" t="n"/>
      <c r="H36" s="136" t="n"/>
      <c r="I36" s="136" t="n"/>
      <c r="J36" s="136" t="n"/>
      <c r="K36" s="136" t="n">
        <v>60</v>
      </c>
      <c r="L36" s="137">
        <f>SUM(F36:K36)</f>
        <v/>
      </c>
    </row>
    <row r="37" ht="46" customHeight="1" s="46">
      <c r="A37" s="87" t="inlineStr">
        <is>
          <t>3.2</t>
        </is>
      </c>
      <c r="B37" s="81" t="inlineStr">
        <is>
          <t>Этап 3</t>
        </is>
      </c>
      <c r="C37" s="78" t="inlineStr">
        <is>
          <t>Формирование 200 акций (массовое заведение через конвейер)</t>
        </is>
      </c>
      <c r="D37" s="91" t="inlineStr">
        <is>
          <t>Операционный</t>
        </is>
      </c>
      <c r="E37" s="78" t="inlineStr">
        <is>
          <t>AI-инженер + маркетолог</t>
        </is>
      </c>
      <c r="F37" s="136" t="n"/>
      <c r="G37" s="136" t="n"/>
      <c r="H37" s="136" t="n"/>
      <c r="I37" s="136" t="n"/>
      <c r="J37" s="136" t="n"/>
      <c r="K37" s="136" t="n">
        <v>90</v>
      </c>
      <c r="L37" s="137">
        <f>SUM(F37:K37)</f>
        <v/>
      </c>
    </row>
    <row r="38" ht="46" customHeight="1" s="46">
      <c r="A38" s="87" t="inlineStr">
        <is>
          <t>3.3</t>
        </is>
      </c>
      <c r="B38" s="81" t="inlineStr">
        <is>
          <t>Этап 3</t>
        </is>
      </c>
      <c r="C38" s="78" t="inlineStr">
        <is>
          <t>Простая оптимизация: автоподбор оффера и частоты, антидубли, приоритизация</t>
        </is>
      </c>
      <c r="D38" s="88" t="inlineStr">
        <is>
          <t>Технический</t>
        </is>
      </c>
      <c r="E38" s="78" t="inlineStr">
        <is>
          <t>AI-инженер</t>
        </is>
      </c>
      <c r="F38" s="136" t="n"/>
      <c r="G38" s="136" t="n"/>
      <c r="H38" s="136" t="n"/>
      <c r="I38" s="136" t="n"/>
      <c r="J38" s="136" t="n"/>
      <c r="K38" s="136" t="n">
        <v>70</v>
      </c>
      <c r="L38" s="137">
        <f>SUM(F38:K38)</f>
        <v/>
      </c>
    </row>
    <row r="39" ht="46" customHeight="1" s="46">
      <c r="A39" s="87" t="inlineStr">
        <is>
          <t>3.4</t>
        </is>
      </c>
      <c r="B39" s="81" t="inlineStr">
        <is>
          <t>Этап 3</t>
        </is>
      </c>
      <c r="C39" s="78" t="inlineStr">
        <is>
          <t>Аналитика постэффектов по 200 акциям, финальный отчёт</t>
        </is>
      </c>
      <c r="D39" s="91" t="inlineStr">
        <is>
          <t>Операционный</t>
        </is>
      </c>
      <c r="E39" s="78" t="inlineStr">
        <is>
          <t>CVM-аналитик</t>
        </is>
      </c>
      <c r="F39" s="136" t="n"/>
      <c r="G39" s="136" t="n"/>
      <c r="H39" s="136" t="n"/>
      <c r="I39" s="136" t="n"/>
      <c r="J39" s="136" t="n"/>
      <c r="K39" s="136" t="n">
        <v>45</v>
      </c>
      <c r="L39" s="137">
        <f>SUM(F39:K39)</f>
        <v/>
      </c>
    </row>
    <row r="40" ht="46" customHeight="1" s="46">
      <c r="A40" s="87" t="inlineStr">
        <is>
          <t>3.5</t>
        </is>
      </c>
      <c r="B40" s="81" t="inlineStr">
        <is>
          <t>Этап 3</t>
        </is>
      </c>
      <c r="C40" s="78" t="inlineStr">
        <is>
          <t>Подготовка к передаче сервиса заказчику (документация, runbook, доступы)</t>
        </is>
      </c>
      <c r="D40" s="91" t="inlineStr">
        <is>
          <t>Операционный</t>
        </is>
      </c>
      <c r="E40" s="78" t="inlineStr">
        <is>
          <t>Data engineer</t>
        </is>
      </c>
      <c r="F40" s="136" t="n"/>
      <c r="G40" s="136" t="n"/>
      <c r="H40" s="136" t="n"/>
      <c r="I40" s="136" t="n"/>
      <c r="J40" s="136" t="n"/>
      <c r="K40" s="136" t="n">
        <v>45</v>
      </c>
      <c r="L40" s="137">
        <f>SUM(F40:K40)</f>
        <v/>
      </c>
    </row>
    <row r="41" ht="46" customHeight="1" s="46">
      <c r="A41" s="87" t="inlineStr">
        <is>
          <t>3.6</t>
        </is>
      </c>
      <c r="B41" s="81" t="inlineStr">
        <is>
          <t>Этап 3</t>
        </is>
      </c>
      <c r="C41" s="78" t="inlineStr">
        <is>
          <t>Управление этапом, приёмка, передача</t>
        </is>
      </c>
      <c r="D41" s="91" t="inlineStr">
        <is>
          <t>Операционный</t>
        </is>
      </c>
      <c r="E41" s="78" t="inlineStr">
        <is>
          <t>Руководитель проекта / CVM-методолог</t>
        </is>
      </c>
      <c r="F41" s="136" t="n"/>
      <c r="G41" s="136" t="n"/>
      <c r="H41" s="136" t="n"/>
      <c r="I41" s="136" t="n"/>
      <c r="J41" s="136" t="n"/>
      <c r="K41" s="136" t="n">
        <v>35</v>
      </c>
      <c r="L41" s="137">
        <f>SUM(F41:K41)</f>
        <v/>
      </c>
    </row>
    <row r="42" ht="24" customHeight="1" s="46">
      <c r="A42" s="92" t="n"/>
      <c r="B42" s="92" t="n"/>
      <c r="C42" s="93" t="inlineStr">
        <is>
          <t>ИТОГО ПО МЕСЯЦАМ, часы</t>
        </is>
      </c>
      <c r="D42" s="92" t="n"/>
      <c r="E42" s="92" t="n"/>
      <c r="F42" s="138">
        <f>SUM(F4:F41)</f>
        <v/>
      </c>
      <c r="G42" s="138">
        <f>SUM(G4:G41)</f>
        <v/>
      </c>
      <c r="H42" s="138">
        <f>SUM(H4:H41)</f>
        <v/>
      </c>
      <c r="I42" s="138">
        <f>SUM(I4:I41)</f>
        <v/>
      </c>
      <c r="J42" s="138">
        <f>SUM(J4:J41)</f>
        <v/>
      </c>
      <c r="K42" s="138">
        <f>SUM(K4:K41)</f>
        <v/>
      </c>
      <c r="L42" s="139">
        <f>SUM(L4:L41)</f>
        <v/>
      </c>
    </row>
    <row r="43" ht="24" customHeight="1" s="46">
      <c r="A43" s="71" t="n"/>
      <c r="B43" s="71" t="n"/>
      <c r="C43" s="96" t="inlineStr">
        <is>
          <t>ИТОГО ПО МЕСЯЦАМ, ₽</t>
        </is>
      </c>
      <c r="D43" s="71" t="n"/>
      <c r="E43" s="71" t="n"/>
      <c r="F43" s="140">
        <f>F42*4350</f>
        <v/>
      </c>
      <c r="G43" s="140">
        <f>G42*4350</f>
        <v/>
      </c>
      <c r="H43" s="140">
        <f>H42*4350</f>
        <v/>
      </c>
      <c r="I43" s="140">
        <f>I42*4350</f>
        <v/>
      </c>
      <c r="J43" s="140">
        <f>J42*4350</f>
        <v/>
      </c>
      <c r="K43" s="140">
        <f>K42*4350</f>
        <v/>
      </c>
      <c r="L43" s="141">
        <f>L42*4350</f>
        <v/>
      </c>
    </row>
    <row r="44" ht="24" customHeight="1" s="46"/>
    <row r="45" ht="24" customHeight="1" s="46">
      <c r="A45" s="86" t="inlineStr">
        <is>
          <t>ДОПОЛНИТЕЛЬНЫЕ РАСХОДЫ (вне трудозатрат по часам)</t>
        </is>
      </c>
      <c r="B45" s="134" t="n"/>
      <c r="C45" s="134" t="n"/>
      <c r="D45" s="134" t="n"/>
      <c r="E45" s="134" t="n"/>
      <c r="F45" s="134" t="n"/>
      <c r="G45" s="134" t="n"/>
      <c r="H45" s="134" t="n"/>
      <c r="I45" s="134" t="n"/>
      <c r="J45" s="134" t="n"/>
      <c r="K45" s="134" t="n"/>
      <c r="L45" s="135" t="n"/>
    </row>
    <row r="46" ht="24" customHeight="1" s="46">
      <c r="A46" s="72" t="inlineStr">
        <is>
          <t>Статья</t>
        </is>
      </c>
      <c r="B46" s="134" t="n"/>
      <c r="C46" s="134" t="n"/>
      <c r="D46" s="134" t="n"/>
      <c r="E46" s="135" t="n"/>
      <c r="F46" s="72" t="inlineStr">
        <is>
          <t>Стоимость</t>
        </is>
      </c>
      <c r="G46" s="134" t="n"/>
      <c r="H46" s="135" t="n"/>
      <c r="I46" s="72" t="inlineStr">
        <is>
          <t>Комментарий</t>
        </is>
      </c>
      <c r="J46" s="134" t="n"/>
      <c r="K46" s="134" t="n"/>
      <c r="L46" s="135" t="n"/>
    </row>
    <row r="47" ht="26" customHeight="1" s="46">
      <c r="A47" s="78" t="inlineStr">
        <is>
          <t>Модуль сегментации MCI</t>
        </is>
      </c>
      <c r="B47" s="134" t="n"/>
      <c r="C47" s="134" t="n"/>
      <c r="D47" s="134" t="n"/>
      <c r="E47" s="135" t="n"/>
      <c r="F47" s="99" t="inlineStr">
        <is>
          <t>0 ₽</t>
        </is>
      </c>
      <c r="G47" s="134" t="n"/>
      <c r="H47" s="135" t="n"/>
      <c r="I47" s="78" t="inlineStr">
        <is>
          <t>Включено. Бесплатно на период проекта (6 мес); далее — по условиям MCI</t>
        </is>
      </c>
      <c r="J47" s="134" t="n"/>
      <c r="K47" s="134" t="n"/>
      <c r="L47" s="135" t="n"/>
    </row>
    <row r="48" ht="26" customHeight="1" s="46">
      <c r="A48" s="78" t="inlineStr">
        <is>
          <t>Серверная инфраструктура — аренда защищённого сервера (мощности, хранилище, при моделях GPU)</t>
        </is>
      </c>
      <c r="B48" s="134" t="n"/>
      <c r="C48" s="134" t="n"/>
      <c r="D48" s="134" t="n"/>
      <c r="E48" s="135" t="n"/>
      <c r="F48" s="99" t="inlineStr">
        <is>
          <t>~45 000 ₽/мес</t>
        </is>
      </c>
      <c r="G48" s="134" t="n"/>
      <c r="H48" s="135" t="n"/>
      <c r="I48" s="78" t="inlineStr">
        <is>
          <t>Ежемесячно. Аренда со всеми защитами и контурами безопасности</t>
        </is>
      </c>
      <c r="J48" s="134" t="n"/>
      <c r="K48" s="134" t="n"/>
      <c r="L48" s="135" t="n"/>
    </row>
    <row r="49" ht="26" customHeight="1" s="46">
      <c r="A49" s="78" t="inlineStr">
        <is>
          <t>Аренда отдельных серверов под агентов (изолированные среды исполнения)</t>
        </is>
      </c>
      <c r="B49" s="134" t="n"/>
      <c r="C49" s="134" t="n"/>
      <c r="D49" s="134" t="n"/>
      <c r="E49" s="135" t="n"/>
      <c r="F49" s="99" t="inlineStr">
        <is>
          <t>~45 000 ₽/мес за среду</t>
        </is>
      </c>
      <c r="G49" s="134" t="n"/>
      <c r="H49" s="135" t="n"/>
      <c r="I49" s="78" t="inlineStr">
        <is>
          <t>Ежемесячно. Число сред — по нагрузке/числу агентов</t>
        </is>
      </c>
      <c r="J49" s="134" t="n"/>
      <c r="K49" s="134" t="n"/>
      <c r="L49" s="135" t="n"/>
    </row>
    <row r="50" ht="26" customHeight="1" s="46">
      <c r="A50" s="78" t="inlineStr">
        <is>
          <t>Подписка Claude Max — максимальный тариф (20x)</t>
        </is>
      </c>
      <c r="B50" s="134" t="n"/>
      <c r="C50" s="134" t="n"/>
      <c r="D50" s="134" t="n"/>
      <c r="E50" s="135" t="n"/>
      <c r="F50" s="99" t="inlineStr">
        <is>
          <t>$200/мес</t>
        </is>
      </c>
      <c r="G50" s="134" t="n"/>
      <c r="H50" s="135" t="n"/>
      <c r="I50" s="78" t="inlineStr">
        <is>
          <t>Ежемесячно. Генерация текстов; оплата по курсу</t>
        </is>
      </c>
      <c r="J50" s="134" t="n"/>
      <c r="K50" s="134" t="n"/>
      <c r="L50" s="135" t="n"/>
    </row>
    <row r="51" ht="26" customHeight="1" s="46">
      <c r="A51" s="78" t="inlineStr">
        <is>
          <t>Подписка Nano Banana / Google AI Ultra — максимальный тариф</t>
        </is>
      </c>
      <c r="B51" s="134" t="n"/>
      <c r="C51" s="134" t="n"/>
      <c r="D51" s="134" t="n"/>
      <c r="E51" s="135" t="n"/>
      <c r="F51" s="99" t="inlineStr">
        <is>
          <t>$200/мес</t>
        </is>
      </c>
      <c r="G51" s="134" t="n"/>
      <c r="H51" s="135" t="n"/>
      <c r="I51" s="78" t="inlineStr">
        <is>
          <t>Ежемесячно. Генерация изображений/баннеров; оплата по курсу</t>
        </is>
      </c>
      <c r="J51" s="134" t="n"/>
      <c r="K51" s="134" t="n"/>
      <c r="L51" s="135" t="n"/>
    </row>
    <row r="52" ht="26" customHeight="1" s="46">
      <c r="A52" s="78" t="inlineStr">
        <is>
          <t>Доп. токены API сверх лимитов подписок</t>
        </is>
      </c>
      <c r="B52" s="134" t="n"/>
      <c r="C52" s="134" t="n"/>
      <c r="D52" s="134" t="n"/>
      <c r="E52" s="135" t="n"/>
      <c r="F52" s="99" t="inlineStr">
        <is>
          <t>по объёму</t>
        </is>
      </c>
      <c r="G52" s="134" t="n"/>
      <c r="H52" s="135" t="n"/>
      <c r="I52" s="78" t="inlineStr">
        <is>
          <t>По факту. При превышении лимитов подписок</t>
        </is>
      </c>
      <c r="J52" s="134" t="n"/>
      <c r="K52" s="134" t="n"/>
      <c r="L52" s="135" t="n"/>
    </row>
    <row r="53" ht="26" customHeight="1" s="46">
      <c r="A53" s="78" t="inlineStr">
        <is>
          <t>Интеграции на стороне заказчика (CRM/рассылки, выгрузки, API заведения)</t>
        </is>
      </c>
      <c r="B53" s="134" t="n"/>
      <c r="C53" s="134" t="n"/>
      <c r="D53" s="134" t="n"/>
      <c r="E53" s="135" t="n"/>
      <c r="F53" s="99" t="inlineStr">
        <is>
          <t>вне сметы</t>
        </is>
      </c>
      <c r="G53" s="134" t="n"/>
      <c r="H53" s="135" t="n"/>
      <c r="I53" s="78" t="inlineStr">
        <is>
          <t>Разовое. Трудозатраты ИТ заказчика</t>
        </is>
      </c>
      <c r="J53" s="134" t="n"/>
      <c r="K53" s="134" t="n"/>
      <c r="L53" s="135" t="n"/>
    </row>
    <row r="54" ht="26" customHeight="1" s="46">
      <c r="A54" s="78" t="inlineStr">
        <is>
          <t>Контур персональных данных (152-ФЗ)</t>
        </is>
      </c>
      <c r="B54" s="134" t="n"/>
      <c r="C54" s="134" t="n"/>
      <c r="D54" s="134" t="n"/>
      <c r="E54" s="135" t="n"/>
      <c r="F54" s="99" t="inlineStr">
        <is>
          <t>по факту</t>
        </is>
      </c>
      <c r="G54" s="134" t="n"/>
      <c r="H54" s="135" t="n"/>
      <c r="I54" s="78" t="inlineStr">
        <is>
          <t>Разовое + ежемес.. Защищённое хранение, обезличивание, согласование ИБ</t>
        </is>
      </c>
      <c r="J54" s="134" t="n"/>
      <c r="K54" s="134" t="n"/>
      <c r="L54" s="135" t="n"/>
    </row>
    <row r="55" ht="26" customHeight="1" s="46">
      <c r="A55" s="78" t="inlineStr">
        <is>
          <t>Резерв на изменение объёма и доработки</t>
        </is>
      </c>
      <c r="B55" s="134" t="n"/>
      <c r="C55" s="134" t="n"/>
      <c r="D55" s="134" t="n"/>
      <c r="E55" s="135" t="n"/>
      <c r="F55" s="99" t="inlineStr">
        <is>
          <t>~10–15%</t>
        </is>
      </c>
      <c r="G55" s="134" t="n"/>
      <c r="H55" s="135" t="n"/>
      <c r="I55" s="78" t="inlineStr">
        <is>
          <t>Разовое. К смете работ</t>
        </is>
      </c>
      <c r="J55" s="134" t="n"/>
      <c r="K55" s="134" t="n"/>
      <c r="L55" s="135" t="n"/>
    </row>
    <row r="57">
      <c r="A57" s="100" t="inlineStr">
        <is>
          <t>Доп. расходы не входят в смету работ и оплачиваются отдельно.</t>
        </is>
      </c>
    </row>
  </sheetData>
  <mergeCells count="35">
    <mergeCell ref="I52:L52"/>
    <mergeCell ref="I48:L48"/>
    <mergeCell ref="A48:E48"/>
    <mergeCell ref="I51:L51"/>
    <mergeCell ref="A51:E51"/>
    <mergeCell ref="F50:H50"/>
    <mergeCell ref="A49:E49"/>
    <mergeCell ref="A18:L18"/>
    <mergeCell ref="F47:H47"/>
    <mergeCell ref="I50:L50"/>
    <mergeCell ref="F46:H46"/>
    <mergeCell ref="A54:E54"/>
    <mergeCell ref="A46:E46"/>
    <mergeCell ref="I46:L46"/>
    <mergeCell ref="F52:H52"/>
    <mergeCell ref="F48:H48"/>
    <mergeCell ref="I49:L49"/>
    <mergeCell ref="A35:L35"/>
    <mergeCell ref="A4:L4"/>
    <mergeCell ref="A55:E55"/>
    <mergeCell ref="A50:E50"/>
    <mergeCell ref="F49:H49"/>
    <mergeCell ref="I47:L47"/>
    <mergeCell ref="A47:E47"/>
    <mergeCell ref="I54:L54"/>
    <mergeCell ref="F53:H53"/>
    <mergeCell ref="A53:E53"/>
    <mergeCell ref="F54:H54"/>
    <mergeCell ref="I53:L53"/>
    <mergeCell ref="A52:E52"/>
    <mergeCell ref="A1:L1"/>
    <mergeCell ref="A45:L45"/>
    <mergeCell ref="I55:L55"/>
    <mergeCell ref="F55:H55"/>
    <mergeCell ref="F51:H5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tabSelected="1" workbookViewId="0">
      <selection activeCell="B10" sqref="B10"/>
    </sheetView>
  </sheetViews>
  <sheetFormatPr baseColWidth="10" defaultColWidth="8.83203125" defaultRowHeight="15"/>
  <cols>
    <col width="26" customWidth="1" style="46" min="1" max="1"/>
    <col width="40" customWidth="1" style="46" min="2" max="2"/>
    <col width="34" customWidth="1" style="46" min="3" max="3"/>
    <col width="12" customWidth="1" style="46" min="4" max="4"/>
    <col width="40" customWidth="1" style="46" min="5" max="5"/>
  </cols>
  <sheetData>
    <row r="1" ht="18" customHeight="1" s="46">
      <c r="A1" s="52" t="inlineStr">
        <is>
          <t>Агенты, которых обучаем и запускаем в рамках процесса</t>
        </is>
      </c>
    </row>
    <row r="2">
      <c r="A2" s="50" t="inlineStr">
        <is>
          <t>Каждый агент исполняется в изолированной арендованной среде (см. задачу 1.12 и доп. расходы).</t>
        </is>
      </c>
    </row>
    <row r="4" ht="30" customHeight="1" s="46">
      <c r="A4" s="1" t="inlineStr">
        <is>
          <t>Агент</t>
        </is>
      </c>
      <c r="B4" s="1" t="inlineStr">
        <is>
          <t>Функция</t>
        </is>
      </c>
      <c r="C4" s="1" t="inlineStr">
        <is>
          <t>Обучаем / настраиваем (этап, задачи)</t>
        </is>
      </c>
      <c r="D4" s="1" t="inlineStr">
        <is>
          <t>Запуск</t>
        </is>
      </c>
      <c r="E4" s="1" t="inlineStr">
        <is>
          <t>Модель / основа</t>
        </is>
      </c>
    </row>
    <row r="5" ht="42" customHeight="1" s="46">
      <c r="A5" s="25" t="inlineStr">
        <is>
          <t>1. Агент-сегментатор</t>
        </is>
      </c>
      <c r="B5" s="65" t="inlineStr">
        <is>
          <t>Выбор аудитории и сегментов под акцию, контрольные группы</t>
        </is>
      </c>
      <c r="C5" s="65" t="inlineStr">
        <is>
          <t>Этап 1 (1.3, 1.4) → масштаб Этап 2 (2.1)</t>
        </is>
      </c>
      <c r="D5" s="4" t="inlineStr">
        <is>
          <t>июль</t>
        </is>
      </c>
      <c r="E5" s="65" t="inlineStr">
        <is>
          <t>Модуль MCI + интеграция</t>
        </is>
      </c>
    </row>
    <row r="6" ht="42" customHeight="1" s="46">
      <c r="A6" s="28" t="inlineStr">
        <is>
          <t>2. Агент-персонализатор</t>
        </is>
      </c>
      <c r="B6" s="10" t="inlineStr">
        <is>
          <t>Подбор оффера под сегмент (сегмент → оффер)</t>
        </is>
      </c>
      <c r="C6" s="10" t="inlineStr">
        <is>
          <t>Этап 1 (1.5)</t>
        </is>
      </c>
      <c r="D6" s="11" t="inlineStr">
        <is>
          <t>июль-авг</t>
        </is>
      </c>
      <c r="E6" s="10" t="inlineStr">
        <is>
          <t>Claude Max + правила CVM</t>
        </is>
      </c>
    </row>
    <row r="7" ht="42" customHeight="1" s="46">
      <c r="A7" s="25" t="inlineStr">
        <is>
          <t>3. Агент-копирайтер</t>
        </is>
      </c>
      <c r="B7" s="65" t="inlineStr">
        <is>
          <t>Генерация текстов: push / купон / баннер / e-mail</t>
        </is>
      </c>
      <c r="C7" s="65" t="inlineStr">
        <is>
          <t>Этап 1 (1.7) → масштаб Этап 2 (2.2, 2.7)</t>
        </is>
      </c>
      <c r="D7" s="4" t="inlineStr">
        <is>
          <t>авг-сент</t>
        </is>
      </c>
      <c r="E7" s="65" t="inlineStr">
        <is>
          <t>Claude Max + скиллы (hook-generator, frameworks)</t>
        </is>
      </c>
    </row>
    <row r="8" ht="42" customHeight="1" s="46">
      <c r="A8" s="28" t="inlineStr">
        <is>
          <t>4. Агент-редактор / гуманизатор</t>
        </is>
      </c>
      <c r="B8" s="10" t="inlineStr">
        <is>
          <t>Проверка качества, tone of voice, антишаблон</t>
        </is>
      </c>
      <c r="C8" s="10" t="inlineStr">
        <is>
          <t>Этап 1 (1.8)</t>
        </is>
      </c>
      <c r="D8" s="11" t="inlineStr">
        <is>
          <t>авг</t>
        </is>
      </c>
      <c r="E8" s="10" t="inlineStr">
        <is>
          <t>Claude Max + скиллы (humanizer, beautiful-prose, voice-builder)</t>
        </is>
      </c>
    </row>
    <row r="9" ht="42" customHeight="1" s="46">
      <c r="A9" s="25" t="inlineStr">
        <is>
          <t>5. Агент-дизайнер баннеров</t>
        </is>
      </c>
      <c r="B9" s="65" t="inlineStr">
        <is>
          <t>Генерация изображений и баннеров</t>
        </is>
      </c>
      <c r="C9" s="65" t="inlineStr">
        <is>
          <t>Этап 2 (2.2, 2.13)</t>
        </is>
      </c>
      <c r="D9" s="4" t="inlineStr">
        <is>
          <t>сент-окт</t>
        </is>
      </c>
      <c r="E9" s="65" t="inlineStr">
        <is>
          <t>Nano Banana / Google AI Ultra</t>
        </is>
      </c>
    </row>
    <row r="10" ht="42" customHeight="1" s="46">
      <c r="A10" s="28" t="inlineStr">
        <is>
          <t>6. Агент-оптимизатор</t>
        </is>
      </c>
      <c r="B10" s="10" t="inlineStr">
        <is>
          <t>Подбор оффера/частоты, антидубли, приоритизация акций</t>
        </is>
      </c>
      <c r="C10" s="10" t="inlineStr">
        <is>
          <t>Этап 2 (2.5) → Этап 3 (3.3)</t>
        </is>
      </c>
      <c r="D10" s="11" t="inlineStr">
        <is>
          <t>ноя-дек</t>
        </is>
      </c>
      <c r="E10" s="10" t="inlineStr">
        <is>
          <t>Claude Max + скоринг/правила</t>
        </is>
      </c>
    </row>
    <row r="11" ht="42" customHeight="1" s="46">
      <c r="A11" s="25" t="inlineStr">
        <is>
          <t>7. Агент-аналитик постэффектов</t>
        </is>
      </c>
      <c r="B11" s="65" t="inlineStr">
        <is>
          <t>Расчёт эффекта vs контрольные группы, отчёты</t>
        </is>
      </c>
      <c r="C11" s="65" t="inlineStr">
        <is>
          <t>Этап 1 (1.10) → Этап 2 (2.6) → Этап 3 (3.4)</t>
        </is>
      </c>
      <c r="D11" s="4" t="inlineStr">
        <is>
          <t>июль-дек</t>
        </is>
      </c>
      <c r="E11" s="65" t="inlineStr">
        <is>
          <t>Внутренние модели + дашборд</t>
        </is>
      </c>
    </row>
    <row r="12" ht="42" customHeight="1" s="46">
      <c r="A12" s="99" t="inlineStr">
        <is>
          <t>8. Агент-конструктор акций</t>
        </is>
      </c>
      <c r="B12" s="78" t="inlineStr">
        <is>
          <t>Собирает акцию: механика, условия, SKU/деплинки, расчёт выгоды, сроки</t>
        </is>
      </c>
      <c r="C12" s="78" t="inlineStr">
        <is>
          <t>Этап 2 (2.4, 2.15)</t>
        </is>
      </c>
      <c r="D12" s="81" t="inlineStr">
        <is>
          <t>окт–ноя</t>
        </is>
      </c>
      <c r="E12" s="78" t="inlineStr">
        <is>
          <t>Claude Max + механики/правила CVM</t>
        </is>
      </c>
    </row>
    <row r="13" ht="42" customHeight="1" s="46">
      <c r="A13" s="99" t="inlineStr">
        <is>
          <t>9. Агент-оператор заведения акций</t>
        </is>
      </c>
      <c r="B13" s="78" t="inlineStr">
        <is>
          <t>Вводит акцию в систему: автозаполнение полей, расписание, выгрузка, валидация/QA</t>
        </is>
      </c>
      <c r="C13" s="78" t="inlineStr">
        <is>
          <t>Этап 2 (2.3, 2.16)</t>
        </is>
      </c>
      <c r="D13" s="81" t="inlineStr">
        <is>
          <t>окт–ноя</t>
        </is>
      </c>
      <c r="E13" s="78" t="inlineStr">
        <is>
          <t>Claude Max + интеграции/API заведения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:E1"/>
    </sheetView>
  </sheetViews>
  <sheetFormatPr baseColWidth="10" defaultColWidth="8.83203125" defaultRowHeight="15"/>
  <cols>
    <col width="6" customWidth="1" style="46" min="1" max="1"/>
    <col width="58" customWidth="1" style="46" min="2" max="2"/>
    <col width="12" customWidth="1" style="46" min="3" max="3"/>
    <col width="14" customWidth="1" style="46" min="4" max="4"/>
    <col width="18" customWidth="1" style="46" min="5" max="5"/>
  </cols>
  <sheetData>
    <row r="1" ht="18" customHeight="1" s="46">
      <c r="A1" s="52" t="inlineStr">
        <is>
          <t>Стоимость проекта (без НДС). Ставка 4 350 ₽/час</t>
        </is>
      </c>
    </row>
    <row r="2" ht="28" customHeight="1" s="46">
      <c r="A2" s="64" t="inlineStr">
        <is>
          <t>Расчёт является ПРЕДВАРИТЕЛЬНЫМ (оценочным): объём часов — экспертная оценка и может быть уточнён по итогам обследования и согласования объёма работ с заказчиком.</t>
        </is>
      </c>
    </row>
    <row r="3">
      <c r="A3" s="1" t="inlineStr">
        <is>
          <t>№</t>
        </is>
      </c>
      <c r="B3" s="1" t="inlineStr">
        <is>
          <t>Этап / услуга</t>
        </is>
      </c>
      <c r="C3" s="1" t="inlineStr">
        <is>
          <t>Ед.</t>
        </is>
      </c>
      <c r="D3" s="1" t="inlineStr">
        <is>
          <t>Кол-во часов</t>
        </is>
      </c>
      <c r="E3" s="1" t="inlineStr">
        <is>
          <t>Стоимость, ₽</t>
        </is>
      </c>
    </row>
    <row r="4">
      <c r="A4" s="17" t="inlineStr">
        <is>
          <t>1.</t>
        </is>
      </c>
      <c r="B4" s="17" t="inlineStr">
        <is>
          <t>Этап 1. Персонализация ДЦО (июль-август 2026)</t>
        </is>
      </c>
      <c r="C4" s="23" t="n"/>
      <c r="D4" s="142">
        <f>SUMIFS('Трудоёмкость (детально)'!$L:$L,'Трудоёмкость (детально)'!$B:$B,"Этап 1")</f>
        <v/>
      </c>
      <c r="E4" s="143">
        <f>D4*4350</f>
        <v/>
      </c>
    </row>
    <row r="5">
      <c r="A5" s="15" t="n"/>
      <c r="B5" s="65" t="inlineStr">
        <is>
          <t xml:space="preserve">   • Технический блок</t>
        </is>
      </c>
      <c r="C5" s="4" t="inlineStr">
        <is>
          <t>чел.-час</t>
        </is>
      </c>
      <c r="D5" s="144">
        <f>SUMIFS('Трудоёмкость (детально)'!$L:$L,'Трудоёмкость (детально)'!$B:$B,"Этап 1",'Трудоёмкость (детально)'!$D:$D,"Технический")</f>
        <v/>
      </c>
      <c r="E5" s="145">
        <f>D5*4350</f>
        <v/>
      </c>
    </row>
    <row r="6">
      <c r="A6" s="15" t="n"/>
      <c r="B6" s="65" t="inlineStr">
        <is>
          <t xml:space="preserve">   • Операционный блок</t>
        </is>
      </c>
      <c r="C6" s="4" t="inlineStr">
        <is>
          <t>чел.-час</t>
        </is>
      </c>
      <c r="D6" s="144">
        <f>SUMIFS('Трудоёмкость (детально)'!$L:$L,'Трудоёмкость (детально)'!$B:$B,"Этап 1",'Трудоёмкость (детально)'!$D:$D,"Операционный")</f>
        <v/>
      </c>
      <c r="E6" s="145">
        <f>D6*4350</f>
        <v/>
      </c>
    </row>
    <row r="7">
      <c r="A7" s="17" t="inlineStr">
        <is>
          <t>2.</t>
        </is>
      </c>
      <c r="B7" s="17" t="inlineStr">
        <is>
          <t>Этап 2. Полноценный CVM: 100 сегментов (сентябрь-ноябрь 2026)</t>
        </is>
      </c>
      <c r="C7" s="23" t="n"/>
      <c r="D7" s="142">
        <f>SUMIFS('Трудоёмкость (детально)'!$L:$L,'Трудоёмкость (детально)'!$B:$B,"Этап 2")</f>
        <v/>
      </c>
      <c r="E7" s="143">
        <f>D7*4350</f>
        <v/>
      </c>
    </row>
    <row r="8">
      <c r="A8" s="15" t="n"/>
      <c r="B8" s="65" t="inlineStr">
        <is>
          <t xml:space="preserve">   • Технический блок</t>
        </is>
      </c>
      <c r="C8" s="4" t="inlineStr">
        <is>
          <t>чел.-час</t>
        </is>
      </c>
      <c r="D8" s="144">
        <f>SUMIFS('Трудоёмкость (детально)'!$L:$L,'Трудоёмкость (детально)'!$B:$B,"Этап 2",'Трудоёмкость (детально)'!$D:$D,"Технический")</f>
        <v/>
      </c>
      <c r="E8" s="145">
        <f>D8*4350</f>
        <v/>
      </c>
    </row>
    <row r="9">
      <c r="A9" s="15" t="n"/>
      <c r="B9" s="65" t="inlineStr">
        <is>
          <t xml:space="preserve">   • Операционный блок</t>
        </is>
      </c>
      <c r="C9" s="4" t="inlineStr">
        <is>
          <t>чел.-час</t>
        </is>
      </c>
      <c r="D9" s="144">
        <f>SUMIFS('Трудоёмкость (детально)'!$L:$L,'Трудоёмкость (детально)'!$B:$B,"Этап 2",'Трудоёмкость (детально)'!$D:$D,"Операционный")</f>
        <v/>
      </c>
      <c r="E9" s="145">
        <f>D9*4350</f>
        <v/>
      </c>
    </row>
    <row r="10">
      <c r="A10" s="17" t="inlineStr">
        <is>
          <t>3.</t>
        </is>
      </c>
      <c r="B10" s="17" t="inlineStr">
        <is>
          <t>Этап 3. Масштаб + простая оптимизация (декабрь 2026)</t>
        </is>
      </c>
      <c r="C10" s="23" t="n"/>
      <c r="D10" s="142">
        <f>SUMIFS('Трудоёмкость (детально)'!$L:$L,'Трудоёмкость (детально)'!$B:$B,"Этап 3")</f>
        <v/>
      </c>
      <c r="E10" s="143">
        <f>D10*4350</f>
        <v/>
      </c>
    </row>
    <row r="11">
      <c r="A11" s="15" t="n"/>
      <c r="B11" s="65" t="inlineStr">
        <is>
          <t xml:space="preserve">   • Технический блок</t>
        </is>
      </c>
      <c r="C11" s="4" t="inlineStr">
        <is>
          <t>чел.-час</t>
        </is>
      </c>
      <c r="D11" s="144">
        <f>SUMIFS('Трудоёмкость (детально)'!$L:$L,'Трудоёмкость (детально)'!$B:$B,"Этап 3",'Трудоёмкость (детально)'!$D:$D,"Технический")</f>
        <v/>
      </c>
      <c r="E11" s="145">
        <f>D11*4350</f>
        <v/>
      </c>
    </row>
    <row r="12">
      <c r="A12" s="15" t="n"/>
      <c r="B12" s="65" t="inlineStr">
        <is>
          <t xml:space="preserve">   • Операционный блок</t>
        </is>
      </c>
      <c r="C12" s="4" t="inlineStr">
        <is>
          <t>чел.-час</t>
        </is>
      </c>
      <c r="D12" s="144">
        <f>SUMIFS('Трудоёмкость (детально)'!$L:$L,'Трудоёмкость (детально)'!$B:$B,"Этап 3",'Трудоёмкость (детально)'!$D:$D,"Операционный")</f>
        <v/>
      </c>
      <c r="E12" s="145">
        <f>D12*4350</f>
        <v/>
      </c>
    </row>
    <row r="13">
      <c r="A13" s="20" t="n"/>
      <c r="B13" s="21" t="inlineStr">
        <is>
          <t>ИТОГО работы по проекту</t>
        </is>
      </c>
      <c r="C13" s="20" t="n"/>
      <c r="D13" s="146">
        <f>D4+D7+D10</f>
        <v/>
      </c>
      <c r="E13" s="147">
        <f>E4+E7+E10</f>
        <v/>
      </c>
    </row>
    <row r="14">
      <c r="A14" s="15" t="n"/>
      <c r="B14" s="26" t="inlineStr">
        <is>
          <t>в т.ч. в среднем в месяц (6 мес)</t>
        </is>
      </c>
      <c r="C14" s="15" t="n"/>
      <c r="D14" s="15" t="n"/>
      <c r="E14" s="145">
        <f>E13/6</f>
        <v/>
      </c>
    </row>
    <row r="16">
      <c r="B16" s="50" t="inlineStr">
        <is>
          <t>Модель: сервис разворачивается на нашем сервере с возможностью последующей передачи заказчику (задача 3.5).</t>
        </is>
      </c>
    </row>
    <row r="17">
      <c r="B17" s="50" t="inlineStr">
        <is>
          <t>Доп. расходы вне трудозатрат — см. лист «Трудоёмкость (детально)».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2026-06-18T11:24:41Z</dcterms:created>
  <dcterms:modified xmlns:dcterms="http://purl.org/dc/terms/" xmlns:xsi="http://www.w3.org/2001/XMLSchema-instance" xsi:type="dcterms:W3CDTF">2026-06-18T12:40:10Z</dcterms:modified>
  <cp:lastModifiedBy>lena_koryakova@mail.ru</cp:lastModifiedBy>
</cp:coreProperties>
</file>